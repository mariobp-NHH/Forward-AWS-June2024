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hvl365-my.sharepoint.com/personal/osu_hvl_no/Documents/Documents/H/Undervisning/BØA205/BØA205 vår 2025/"/>
    </mc:Choice>
  </mc:AlternateContent>
  <xr:revisionPtr revIDLastSave="2" documentId="8_{3A3300B3-8547-491D-A56D-A6D7BA363F24}" xr6:coauthVersionLast="47" xr6:coauthVersionMax="47" xr10:uidLastSave="{64558C67-78B5-4437-89B4-1580660231A2}"/>
  <bookViews>
    <workbookView xWindow="-110" yWindow="-110" windowWidth="19420" windowHeight="10300" activeTab="5" xr2:uid="{00000000-000D-0000-FFFF-FFFF00000000}"/>
  </bookViews>
  <sheets>
    <sheet name="Oppgave 1" sheetId="29" r:id="rId1"/>
    <sheet name="Oppgave 2" sheetId="17" r:id="rId2"/>
    <sheet name="Oppgave 3" sheetId="24" r:id="rId3"/>
    <sheet name="Oppgave  4" sheetId="26" r:id="rId4"/>
    <sheet name="Oppgave 5" sheetId="30" r:id="rId5"/>
    <sheet name="Bonus 1" sheetId="3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31" l="1"/>
  <c r="D117" i="31"/>
  <c r="D116" i="31"/>
  <c r="D115" i="31"/>
  <c r="D121" i="31" s="1"/>
  <c r="D107" i="31"/>
  <c r="D100" i="31"/>
  <c r="D99" i="31"/>
  <c r="D98" i="31"/>
  <c r="D101" i="31" s="1"/>
  <c r="D103" i="31" s="1"/>
  <c r="D97" i="31"/>
  <c r="D76" i="31"/>
  <c r="D120" i="31" s="1"/>
  <c r="D71" i="31"/>
  <c r="D70" i="31"/>
  <c r="D102" i="31" s="1"/>
  <c r="D69" i="31"/>
  <c r="D68" i="31"/>
  <c r="C61" i="31"/>
  <c r="C59" i="31"/>
  <c r="C58" i="31"/>
  <c r="D75" i="31" s="1"/>
  <c r="D119" i="31" s="1"/>
  <c r="C57" i="31"/>
  <c r="D74" i="31" s="1"/>
  <c r="D118" i="31" s="1"/>
  <c r="C55" i="31"/>
  <c r="C54" i="31"/>
  <c r="C53" i="31"/>
  <c r="C60" i="31" s="1"/>
  <c r="C48" i="31"/>
  <c r="C47" i="31"/>
  <c r="C45" i="31"/>
  <c r="C44" i="31"/>
  <c r="C43" i="31"/>
  <c r="C41" i="31"/>
  <c r="C40" i="31"/>
  <c r="C46" i="31" s="1"/>
  <c r="C49" i="31" s="1"/>
  <c r="C39" i="31"/>
  <c r="C37" i="31"/>
  <c r="C36" i="31"/>
  <c r="C35" i="31"/>
  <c r="C30" i="30"/>
  <c r="C32" i="30"/>
  <c r="D44" i="30"/>
  <c r="D46" i="30"/>
  <c r="D50" i="30"/>
  <c r="D104" i="31" l="1"/>
  <c r="D105" i="31" s="1"/>
  <c r="D109" i="31" s="1"/>
  <c r="D77" i="31"/>
  <c r="D122" i="31" s="1"/>
  <c r="D123" i="31" s="1"/>
  <c r="D127" i="31" s="1"/>
  <c r="C62" i="31"/>
  <c r="D34" i="26" l="1"/>
  <c r="D33" i="26"/>
  <c r="C28" i="26"/>
  <c r="C27" i="26"/>
  <c r="C26" i="26"/>
  <c r="C25" i="26"/>
  <c r="C24" i="26"/>
  <c r="C29" i="26" l="1"/>
  <c r="D35" i="26" s="1"/>
  <c r="C48" i="24" l="1"/>
  <c r="C46" i="24"/>
  <c r="C45" i="24"/>
  <c r="C44" i="24"/>
  <c r="C43" i="24"/>
  <c r="D55" i="24" l="1"/>
  <c r="D54" i="24"/>
  <c r="C47" i="24"/>
  <c r="C49" i="24" s="1"/>
  <c r="D56" i="24" l="1"/>
  <c r="D27" i="24"/>
  <c r="C22" i="24"/>
  <c r="C20" i="24"/>
  <c r="C19" i="24"/>
  <c r="C18" i="24"/>
  <c r="C17" i="24"/>
  <c r="C21" i="24" l="1"/>
  <c r="D28" i="24" s="1"/>
  <c r="D26" i="24"/>
  <c r="C23" i="24" l="1"/>
  <c r="C17" i="17"/>
  <c r="D22" i="17" s="1"/>
  <c r="D24" i="17" s="1"/>
  <c r="D26" i="17" s="1"/>
</calcChain>
</file>

<file path=xl/sharedStrings.xml><?xml version="1.0" encoding="utf-8"?>
<sst xmlns="http://schemas.openxmlformats.org/spreadsheetml/2006/main" count="289" uniqueCount="212">
  <si>
    <t>Innkjøpspris i følge faktura</t>
  </si>
  <si>
    <t xml:space="preserve"> +</t>
  </si>
  <si>
    <t>Frakt og forsikring</t>
  </si>
  <si>
    <t xml:space="preserve"> + </t>
  </si>
  <si>
    <t>Spedisjon</t>
  </si>
  <si>
    <t xml:space="preserve"> =</t>
  </si>
  <si>
    <t>Inntakskost per enhet</t>
  </si>
  <si>
    <t>106 500/100</t>
  </si>
  <si>
    <t>1 065,-</t>
  </si>
  <si>
    <t>Inntakskost</t>
  </si>
  <si>
    <t>Selvkost</t>
  </si>
  <si>
    <t xml:space="preserve">  +</t>
  </si>
  <si>
    <t>Fortjeneste (20 %)</t>
  </si>
  <si>
    <t>Salgsinntekt eks. mva.</t>
  </si>
  <si>
    <t>204 480/100</t>
  </si>
  <si>
    <t>Salgsinntekt</t>
  </si>
  <si>
    <t>Varekostnad</t>
  </si>
  <si>
    <t>Bruttofortjeneste</t>
  </si>
  <si>
    <t>Avanse</t>
  </si>
  <si>
    <t>Bruttofortjenesten (BF) i % =</t>
  </si>
  <si>
    <t>BF i kr*100%</t>
  </si>
  <si>
    <t>97 980*100%</t>
  </si>
  <si>
    <t xml:space="preserve"> = 47,92%</t>
  </si>
  <si>
    <t>Varesalg</t>
  </si>
  <si>
    <t>Avanse i % =</t>
  </si>
  <si>
    <t>Avanse i kr*100%</t>
  </si>
  <si>
    <t xml:space="preserve"> = 92 %</t>
  </si>
  <si>
    <t>Direkte material</t>
  </si>
  <si>
    <t>Direkte lønn</t>
  </si>
  <si>
    <t>Indirekte materialkostnader</t>
  </si>
  <si>
    <t>Tilvirkningskost</t>
  </si>
  <si>
    <t>Pris</t>
  </si>
  <si>
    <t>Fortjeneste</t>
  </si>
  <si>
    <t>Selvkostmetoden</t>
  </si>
  <si>
    <t>Oppgave 4</t>
  </si>
  <si>
    <t>a)</t>
  </si>
  <si>
    <t>b)</t>
  </si>
  <si>
    <t>Tilleggssats S/A</t>
  </si>
  <si>
    <t>Indirekte tilvirkningskostnader</t>
  </si>
  <si>
    <t>Tilleggssats tilvirkning</t>
  </si>
  <si>
    <t>Bedriften Tango AS produser et produkt og tallene nedfor er for et normalår</t>
  </si>
  <si>
    <t>106 500*0,6</t>
  </si>
  <si>
    <t>170 400*0,2</t>
  </si>
  <si>
    <t>Indirekte variable materialkostnader</t>
  </si>
  <si>
    <t>Indirekte faste materialkostnader</t>
  </si>
  <si>
    <t>Indirekte variable tilvirkningskostnader</t>
  </si>
  <si>
    <t>Indirekte faste tilvirkningskostnader</t>
  </si>
  <si>
    <t>Indirekte variable S/A kostander</t>
  </si>
  <si>
    <t>Beregn tilleggssatsene for bedriften ved bruk av bidragsmetoden</t>
  </si>
  <si>
    <t>Beregn tilleggssatsene for bedriften ved bruk av selvkost metoden</t>
  </si>
  <si>
    <t>Oppgave 3</t>
  </si>
  <si>
    <t>b) og c)</t>
  </si>
  <si>
    <t>d)</t>
  </si>
  <si>
    <t>e)</t>
  </si>
  <si>
    <t>Variable tilvirkningskost</t>
  </si>
  <si>
    <t>Sum variable kostnader (Merkost)</t>
  </si>
  <si>
    <t>Tilleggssatser selvkostmetoden:</t>
  </si>
  <si>
    <t>Tilleggssatser bidragsmetoden:</t>
  </si>
  <si>
    <t xml:space="preserve">AS Ludo vil bygge sin selvkostkalkyle på forhold i et budsjettert normalår. Fra </t>
  </si>
  <si>
    <t>Budsjettet for neste år henter vi følgende tall:</t>
  </si>
  <si>
    <t>Tilvirkningsavdeling 1</t>
  </si>
  <si>
    <t>Tilvirkningsavdeling 2</t>
  </si>
  <si>
    <t>Salgs-og administrasjonsavd.</t>
  </si>
  <si>
    <t>Aktivitetsmål</t>
  </si>
  <si>
    <t>Direkte lønn avdeling</t>
  </si>
  <si>
    <t>Arbeidstid</t>
  </si>
  <si>
    <t>Tilvirkningskost solgt varer</t>
  </si>
  <si>
    <t>Direkte materialforbruk</t>
  </si>
  <si>
    <t>Direkte lønn tilvirkningsavdeling 1</t>
  </si>
  <si>
    <t>Direkte lønn tilvirkningsavdeling 2</t>
  </si>
  <si>
    <t>Budsjetterte beskjeftigelse i tilvirkningsavdeling 2 er 9 600 timer.</t>
  </si>
  <si>
    <t>Beregn budsjettert tilvirkningskost</t>
  </si>
  <si>
    <t xml:space="preserve">b) </t>
  </si>
  <si>
    <t>Beregn tilleggssatsen for de tre avdelingene</t>
  </si>
  <si>
    <t>Direkte lønn Tilvirkningsavdeling 2</t>
  </si>
  <si>
    <t>Løsningsforslag</t>
  </si>
  <si>
    <t>Tilleggsasater</t>
  </si>
  <si>
    <t>Salgs- og administrasjons avdeling</t>
  </si>
  <si>
    <t>i både faste og variable.</t>
  </si>
  <si>
    <t>Indirekte S/A kostnader</t>
  </si>
  <si>
    <t>For S/A kostander er innkalkulering tilvirkningskost/tilvirkningsmerkost</t>
  </si>
  <si>
    <t>timer</t>
  </si>
  <si>
    <t xml:space="preserve">Selvkost </t>
  </si>
  <si>
    <t>c)</t>
  </si>
  <si>
    <t>Oppgave 1</t>
  </si>
  <si>
    <t>5000/20000</t>
  </si>
  <si>
    <t>3000/15000</t>
  </si>
  <si>
    <t>2000/43000</t>
  </si>
  <si>
    <t>Tilleggssats indirekte variable tilvirkning</t>
  </si>
  <si>
    <t>Tilleggssats indirekte variable  S/A</t>
  </si>
  <si>
    <t>3000/2000</t>
  </si>
  <si>
    <t>1000/15000</t>
  </si>
  <si>
    <t>500/39000</t>
  </si>
  <si>
    <t>Oppgave 5</t>
  </si>
  <si>
    <t>Indirekte kostnader material</t>
  </si>
  <si>
    <t>Indirekte kostnader tilvirkning</t>
  </si>
  <si>
    <t>Indirekte kostnader S/A</t>
  </si>
  <si>
    <t xml:space="preserve">De indirekte materialkostnaden innkalkuleres som prosentpåslag på direkte material. </t>
  </si>
  <si>
    <t>Tileggssats indirektekostnader</t>
  </si>
  <si>
    <t xml:space="preserve">De Indirekte kostnaden fordeler seg som vist nedfor på faste og variable kostnader </t>
  </si>
  <si>
    <t>Indirekte faste S/A kostnader</t>
  </si>
  <si>
    <t>Indirekte variable kostnader material</t>
  </si>
  <si>
    <t>Indirekte variable kostnader tilvirkning</t>
  </si>
  <si>
    <t>Tileggssats indirekte variable kostnader</t>
  </si>
  <si>
    <t>Indirekte kostnader</t>
  </si>
  <si>
    <t>Indirekte tilvirkningskostnader innkalkuleres som prosentpåslag av direkte lønn</t>
  </si>
  <si>
    <t>Budsjett for direkte kostnader neste år:</t>
  </si>
  <si>
    <t>Indirekte kostnader tilvirkningsavdeling 1</t>
  </si>
  <si>
    <t>Indirekte kostnader tilvirkningsavdeling 2</t>
  </si>
  <si>
    <t>Inntekskost (Direkt kostnader)</t>
  </si>
  <si>
    <t>Indirekte kostnader (60 %)</t>
  </si>
  <si>
    <t>Salgspris pr enhet</t>
  </si>
  <si>
    <t>480000/9600 =</t>
  </si>
  <si>
    <t>520000/800000 =</t>
  </si>
  <si>
    <t>670000/3 350 000 =</t>
  </si>
  <si>
    <t xml:space="preserve"> -</t>
  </si>
  <si>
    <t>Salgspris</t>
  </si>
  <si>
    <t>10% av 1 150</t>
  </si>
  <si>
    <t>Fotjeneste</t>
  </si>
  <si>
    <t>f)</t>
  </si>
  <si>
    <t>25% av 920</t>
  </si>
  <si>
    <t>Indirektekostnader S/A avdelingen</t>
  </si>
  <si>
    <t>Tilvirkningskoat</t>
  </si>
  <si>
    <t>2,5 timer *kr 60</t>
  </si>
  <si>
    <t>Indirekte kostnader tilvirkningsavdelingen</t>
  </si>
  <si>
    <t>95% av 300</t>
  </si>
  <si>
    <t>Indirekte kostnader materialavdelingen</t>
  </si>
  <si>
    <t>662000/2650000 =</t>
  </si>
  <si>
    <t>Tilleggssats S/A avdelingen</t>
  </si>
  <si>
    <t>d</t>
  </si>
  <si>
    <t>kr 60 per maskintime</t>
  </si>
  <si>
    <t>480000/8000 timer =</t>
  </si>
  <si>
    <t>Tilleggssats tilvirkningsavdelingen</t>
  </si>
  <si>
    <t>570000/600000 =</t>
  </si>
  <si>
    <t>Tilleggssats materialavdelingen</t>
  </si>
  <si>
    <t>Indirekte kostnader tilvirkningsavdelinge</t>
  </si>
  <si>
    <t>Direkte lønnskostnader</t>
  </si>
  <si>
    <t>Direkte materialkostnader</t>
  </si>
  <si>
    <t>Indirekte faste kostnader</t>
  </si>
  <si>
    <t>Indirekte variable kostnader</t>
  </si>
  <si>
    <t>S/A avd.</t>
  </si>
  <si>
    <t>Tilvirknings avd.</t>
  </si>
  <si>
    <t>Material avd.</t>
  </si>
  <si>
    <t>Produksjon/salg antall enheter</t>
  </si>
  <si>
    <t>Direkte materiale</t>
  </si>
  <si>
    <t>Direkte lønn produksjon</t>
  </si>
  <si>
    <t>Direkte lønn montering</t>
  </si>
  <si>
    <t>Indirekte variablekostnader produksjon</t>
  </si>
  <si>
    <t>Indirekte variablekostnader montering</t>
  </si>
  <si>
    <t xml:space="preserve">Indirekte variablekostnader S/A </t>
  </si>
  <si>
    <t>Indirekte faste materialkostander</t>
  </si>
  <si>
    <t>Indirekte fastekostnader produksjon</t>
  </si>
  <si>
    <t>Indirekte fastekostnader montering</t>
  </si>
  <si>
    <t>Indirektekostnader</t>
  </si>
  <si>
    <t>Indirekte fastekostnader motering</t>
  </si>
  <si>
    <t>Indirekte variable S/A</t>
  </si>
  <si>
    <t>Indirekte faste S/A</t>
  </si>
  <si>
    <t>Bidragsmetoden</t>
  </si>
  <si>
    <t>Indirektevariable kostander</t>
  </si>
  <si>
    <t>Tilvirkningsmerkost</t>
  </si>
  <si>
    <t>Merkost</t>
  </si>
  <si>
    <t>Tilleggsats Selvkostprinsippet</t>
  </si>
  <si>
    <t>Tilleggssats material:</t>
  </si>
  <si>
    <t>(250000+150000)/2800000 =</t>
  </si>
  <si>
    <t>Tilleggssats Produksjon</t>
  </si>
  <si>
    <t>(550000+200000)/10500000 =</t>
  </si>
  <si>
    <t>Tilleggssats montering</t>
  </si>
  <si>
    <t>(240000+160000)/6250000 =</t>
  </si>
  <si>
    <t>(1234000+2143000)/21 100 000 =</t>
  </si>
  <si>
    <t>Tilleggssats Bidragsmetoden</t>
  </si>
  <si>
    <t>250000/2800000 =</t>
  </si>
  <si>
    <t>550000/10500000 =</t>
  </si>
  <si>
    <t>240000/6250000 =</t>
  </si>
  <si>
    <t>1234000/20 590 000 =</t>
  </si>
  <si>
    <t>Lønnskostander per time produksjon</t>
  </si>
  <si>
    <t>Lønnskostander per time montering</t>
  </si>
  <si>
    <t>Forventet antal produksjonstimer</t>
  </si>
  <si>
    <t>Forventet antall moteringstimer</t>
  </si>
  <si>
    <t>Antall</t>
  </si>
  <si>
    <t>Selvkostkalyle ordre Styringsenheter</t>
  </si>
  <si>
    <t>Direkte Lønn produksjon</t>
  </si>
  <si>
    <t>220*2500</t>
  </si>
  <si>
    <t>Direkte lønn monteringsavdelingen</t>
  </si>
  <si>
    <t>160*1500</t>
  </si>
  <si>
    <t>Tillegg indirektekostnader materialkostander</t>
  </si>
  <si>
    <t>280 000*0,1429</t>
  </si>
  <si>
    <t>Tillegg indirektekostnader produksjon</t>
  </si>
  <si>
    <t>550 000*0,0714</t>
  </si>
  <si>
    <t>Tillegg indirektekostander montering</t>
  </si>
  <si>
    <t>240 000*0,0640</t>
  </si>
  <si>
    <t>Tillegg indirektekostander S/A</t>
  </si>
  <si>
    <t>1 164 000*0,16</t>
  </si>
  <si>
    <t>Salgsinntekter</t>
  </si>
  <si>
    <t>750*1800</t>
  </si>
  <si>
    <t>Bidragskalkylen ordre Styringsenheter</t>
  </si>
  <si>
    <t>Tillegg variable materialkostander</t>
  </si>
  <si>
    <t>8,93 % av 280 000</t>
  </si>
  <si>
    <t>Tillegg variable produksjon</t>
  </si>
  <si>
    <t>5,24 % av 550 000</t>
  </si>
  <si>
    <t>Tillegg variablekostander monteringsavdeling</t>
  </si>
  <si>
    <t>3,84 % av 240 000</t>
  </si>
  <si>
    <t>Tillegg variable S/A</t>
  </si>
  <si>
    <t>5,99 % av 1 13 3 026</t>
  </si>
  <si>
    <t>Salgsmerkost</t>
  </si>
  <si>
    <t xml:space="preserve">Dekningsbidrag </t>
  </si>
  <si>
    <t>Så lenge det er ledigkapaitet og DB er possitivt bør bedriften aksepter tilbudet</t>
  </si>
  <si>
    <t>DB er med på og dekke inn dei fastekostanden i bedriften som vil eksister</t>
  </si>
  <si>
    <t>om en aksepterer tilbudet eller eikke</t>
  </si>
  <si>
    <t>Bedriften vurder å benytte seg av bidragsmetoden og splitter dermed de indirekte kostanden</t>
  </si>
  <si>
    <t>Oppgave 2</t>
  </si>
  <si>
    <t>Bonus 1</t>
  </si>
  <si>
    <t>Bedriften Tango 2 AS har følgen kostnader for ein normalperiode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</si>
</sst>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kr&quot;\ #,##0;[Red]\-&quot;kr&quot;\ #,##0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6" fontId="0" fillId="0" borderId="0" xfId="0" applyNumberFormat="1"/>
    <xf numFmtId="0" fontId="0" fillId="0" borderId="2" xfId="0" applyBorder="1"/>
    <xf numFmtId="38" fontId="0" fillId="0" borderId="0" xfId="0" applyNumberFormat="1"/>
    <xf numFmtId="38" fontId="0" fillId="0" borderId="2" xfId="0" applyNumberFormat="1" applyBorder="1"/>
    <xf numFmtId="3" fontId="0" fillId="0" borderId="2" xfId="0" applyNumberFormat="1" applyBorder="1"/>
    <xf numFmtId="0" fontId="0" fillId="0" borderId="3" xfId="0" applyBorder="1"/>
    <xf numFmtId="0" fontId="3" fillId="0" borderId="0" xfId="0" applyFont="1"/>
    <xf numFmtId="0" fontId="3" fillId="0" borderId="3" xfId="0" applyFont="1" applyBorder="1"/>
    <xf numFmtId="9" fontId="0" fillId="0" borderId="0" xfId="3" applyFont="1"/>
    <xf numFmtId="0" fontId="0" fillId="0" borderId="4" xfId="0" applyBorder="1"/>
    <xf numFmtId="0" fontId="0" fillId="0" borderId="5" xfId="0" applyBorder="1"/>
    <xf numFmtId="0" fontId="0" fillId="0" borderId="10" xfId="0" applyBorder="1"/>
    <xf numFmtId="4" fontId="0" fillId="0" borderId="0" xfId="0" applyNumberFormat="1"/>
    <xf numFmtId="3" fontId="3" fillId="0" borderId="1" xfId="0" applyNumberFormat="1" applyFont="1" applyBorder="1"/>
    <xf numFmtId="3" fontId="3" fillId="0" borderId="0" xfId="0" applyNumberFormat="1" applyFont="1"/>
    <xf numFmtId="0" fontId="0" fillId="0" borderId="11" xfId="0" applyBorder="1"/>
    <xf numFmtId="0" fontId="0" fillId="0" borderId="0" xfId="0" applyAlignment="1">
      <alignment horizontal="right"/>
    </xf>
    <xf numFmtId="4" fontId="0" fillId="0" borderId="2" xfId="0" applyNumberFormat="1" applyBorder="1"/>
    <xf numFmtId="164" fontId="0" fillId="0" borderId="3" xfId="0" applyNumberFormat="1" applyBorder="1"/>
    <xf numFmtId="3" fontId="3" fillId="0" borderId="11" xfId="0" applyNumberFormat="1" applyFont="1" applyBorder="1"/>
    <xf numFmtId="0" fontId="3" fillId="0" borderId="1" xfId="0" applyFont="1" applyBorder="1" applyAlignment="1">
      <alignment horizontal="right"/>
    </xf>
    <xf numFmtId="3" fontId="3" fillId="0" borderId="3" xfId="0" applyNumberFormat="1" applyFont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8" xfId="0" applyBorder="1"/>
    <xf numFmtId="10" fontId="3" fillId="0" borderId="6" xfId="3" applyNumberFormat="1" applyFont="1" applyBorder="1"/>
    <xf numFmtId="10" fontId="3" fillId="0" borderId="7" xfId="3" applyNumberFormat="1" applyFont="1" applyBorder="1"/>
    <xf numFmtId="10" fontId="3" fillId="0" borderId="9" xfId="3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9" fontId="3" fillId="0" borderId="0" xfId="3" applyFont="1" applyAlignment="1">
      <alignment horizontal="left"/>
    </xf>
    <xf numFmtId="0" fontId="3" fillId="0" borderId="0" xfId="0" applyFont="1" applyAlignment="1">
      <alignment horizontal="left"/>
    </xf>
    <xf numFmtId="38" fontId="3" fillId="0" borderId="0" xfId="0" applyNumberFormat="1" applyFont="1"/>
    <xf numFmtId="38" fontId="3" fillId="0" borderId="3" xfId="0" applyNumberFormat="1" applyFont="1" applyBorder="1"/>
    <xf numFmtId="3" fontId="0" fillId="0" borderId="3" xfId="0" applyNumberFormat="1" applyBorder="1"/>
    <xf numFmtId="9" fontId="0" fillId="0" borderId="0" xfId="0" applyNumberFormat="1"/>
    <xf numFmtId="38" fontId="0" fillId="0" borderId="1" xfId="0" applyNumberFormat="1" applyBorder="1"/>
    <xf numFmtId="0" fontId="3" fillId="0" borderId="1" xfId="0" applyFont="1" applyBorder="1" applyAlignment="1">
      <alignment horizontal="center"/>
    </xf>
    <xf numFmtId="10" fontId="0" fillId="0" borderId="0" xfId="0" applyNumberFormat="1"/>
    <xf numFmtId="38" fontId="0" fillId="0" borderId="3" xfId="0" applyNumberFormat="1" applyBorder="1"/>
    <xf numFmtId="0" fontId="0" fillId="0" borderId="1" xfId="0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Pros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</xdr:row>
      <xdr:rowOff>83820</xdr:rowOff>
    </xdr:from>
    <xdr:to>
      <xdr:col>8</xdr:col>
      <xdr:colOff>673100</xdr:colOff>
      <xdr:row>17</xdr:row>
      <xdr:rowOff>137160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E0FCF9CD-0F52-4986-A55A-CED5C7522372}"/>
            </a:ext>
          </a:extLst>
        </xdr:cNvPr>
        <xdr:cNvSpPr txBox="1"/>
      </xdr:nvSpPr>
      <xdr:spPr>
        <a:xfrm>
          <a:off x="106680" y="267970"/>
          <a:ext cx="6662420" cy="2999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a) Kostnader som,</a:t>
          </a:r>
          <a:r>
            <a:rPr lang="nb-NO" sz="1100" baseline="0"/>
            <a:t> innenfor visse grenser, ikke varier med produksjon</a:t>
          </a:r>
        </a:p>
        <a:p>
          <a:r>
            <a:rPr lang="nb-NO" sz="1100" baseline="0"/>
            <a:t>b) Kostnader som varierer med produsert mengde</a:t>
          </a:r>
        </a:p>
        <a:p>
          <a:r>
            <a:rPr lang="nb-NO" sz="1100" baseline="0"/>
            <a:t>c) Kostnader som ikke kan knyttes direkte til det enkelt produktet</a:t>
          </a:r>
        </a:p>
        <a:p>
          <a:r>
            <a:rPr lang="nb-NO" sz="1100" baseline="0"/>
            <a:t>d) Kostnader som kan knyttes direkte til et produkt</a:t>
          </a:r>
        </a:p>
        <a:p>
          <a:endParaRPr lang="nb-NO" sz="1100" baseline="0"/>
        </a:p>
        <a:p>
          <a:r>
            <a:rPr lang="nb-NO" sz="1100" baseline="0"/>
            <a:t>e) I materiavdelingen er det mengden materiale (direkte material) som driver indirekte kostander</a:t>
          </a:r>
        </a:p>
        <a:p>
          <a:r>
            <a:rPr lang="nb-NO" sz="1100" baseline="0"/>
            <a:t>    Eksempel: Direkte materiale i en periode har vert kr 100 000, og indirekte kostnader i materialavdelingen    </a:t>
          </a:r>
        </a:p>
        <a:p>
          <a:r>
            <a:rPr lang="nb-NO" sz="1100" baseline="0"/>
            <a:t>     har vert kr 30 000. Da blir tilleggssatsen for indirekte kostander materialavdelingen :</a:t>
          </a:r>
        </a:p>
        <a:p>
          <a:endParaRPr lang="nb-NO" sz="1100" baseline="0"/>
        </a:p>
        <a:p>
          <a:r>
            <a:rPr lang="nb-NO" sz="1100" baseline="0"/>
            <a:t>	30 000/100 000 * 100 % = 30 %</a:t>
          </a:r>
        </a:p>
        <a:p>
          <a:endParaRPr lang="nb-NO" sz="1100" baseline="0"/>
        </a:p>
        <a:p>
          <a:r>
            <a:rPr lang="nb-NO" sz="1100" baseline="0"/>
            <a:t>f) I maskinavdelingen er det tiden maskin brukes som driver indirekte kostnader.</a:t>
          </a:r>
        </a:p>
        <a:p>
          <a:r>
            <a:rPr lang="nb-NO" sz="1100" baseline="0"/>
            <a:t>    Eksempel: Om indirekte kostander i maskinavdelingen har vert kr 50 000. Og antall maskintimer i perioden </a:t>
          </a:r>
        </a:p>
        <a:p>
          <a:r>
            <a:rPr lang="nb-NO" sz="1100" baseline="0"/>
            <a:t>    har vert 500. Da blir tilleggssatsen for indirekte kostander i maskinavdelingen:</a:t>
          </a:r>
        </a:p>
        <a:p>
          <a:r>
            <a:rPr lang="nb-NO" sz="1100" baseline="0"/>
            <a:t>	</a:t>
          </a:r>
        </a:p>
        <a:p>
          <a:r>
            <a:rPr lang="nb-NO" sz="1100" baseline="0"/>
            <a:t>	50 000/500 = kr 100 per maskintime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</xdr:row>
      <xdr:rowOff>60960</xdr:rowOff>
    </xdr:from>
    <xdr:to>
      <xdr:col>5</xdr:col>
      <xdr:colOff>731520</xdr:colOff>
      <xdr:row>11</xdr:row>
      <xdr:rowOff>137160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9540" y="243840"/>
          <a:ext cx="564642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Bedriften Balder HI-Fi As importerer</a:t>
          </a:r>
          <a:r>
            <a:rPr lang="nb-NO" sz="1100" baseline="0"/>
            <a:t> Blu-Ray DVD spillere fra Kina. I juni kjøper de DVD 100 spilere for kr 100 000 eks mva. Frakt og forsikring er kr 5 000 og spedisjon kostander er kr 1 500.  Regnskapet til Balder HI-Fi viser at de indirekte kostanden utgjør 60 % av inntakskosten.</a:t>
          </a:r>
        </a:p>
        <a:p>
          <a:r>
            <a:rPr lang="nb-NO" sz="1100" baseline="0"/>
            <a:t>For denne type varer legger bedriften på 20 % fortjeneste</a:t>
          </a:r>
        </a:p>
        <a:p>
          <a:endParaRPr lang="nb-NO" sz="1100" baseline="0"/>
        </a:p>
        <a:p>
          <a:r>
            <a:rPr lang="nb-NO" sz="1100" baseline="0"/>
            <a:t>a) Beregn inntakskost totalt og per enhet</a:t>
          </a:r>
        </a:p>
        <a:p>
          <a:r>
            <a:rPr lang="nb-NO" sz="1100" baseline="0"/>
            <a:t>b) Hva blir total selvkost for varene?</a:t>
          </a:r>
        </a:p>
        <a:p>
          <a:r>
            <a:rPr lang="nb-NO" sz="1100" baseline="0"/>
            <a:t>c) Hva blir salgsinntekten og salgspris per enhet?</a:t>
          </a:r>
        </a:p>
        <a:p>
          <a:r>
            <a:rPr lang="nb-NO" sz="1100" baseline="0"/>
            <a:t>d) Hva er bruttofortjenesten og avansen i kr?</a:t>
          </a:r>
        </a:p>
        <a:p>
          <a:r>
            <a:rPr lang="nb-NO" sz="1100"/>
            <a:t>e) Hva er bruttofortjenesten og avansen i %?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8</xdr:row>
      <xdr:rowOff>45720</xdr:rowOff>
    </xdr:from>
    <xdr:to>
      <xdr:col>4</xdr:col>
      <xdr:colOff>739140</xdr:colOff>
      <xdr:row>24</xdr:row>
      <xdr:rowOff>137160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5EB1AB8B-47E1-4F48-BCA7-EBEDD9CF0E08}"/>
            </a:ext>
          </a:extLst>
        </xdr:cNvPr>
        <xdr:cNvSpPr txBox="1"/>
      </xdr:nvSpPr>
      <xdr:spPr>
        <a:xfrm>
          <a:off x="160020" y="1508760"/>
          <a:ext cx="3749040" cy="3017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Aktivitetsmålet i materialavdelingen er direkte material. I tilvirkningsavdelingen er maskintimer,</a:t>
          </a:r>
          <a:r>
            <a:rPr lang="nb-NO" sz="1100" baseline="0"/>
            <a:t> som var 8 000 timer sist år. Aktivitetsmålet for salgs- og administrasjonskostnaden er tilvirkningskost.</a:t>
          </a:r>
        </a:p>
        <a:p>
          <a:endParaRPr lang="nb-NO" sz="1100" baseline="0"/>
        </a:p>
        <a:p>
          <a:r>
            <a:rPr lang="nb-NO" sz="1100" baseline="0"/>
            <a:t>a) Sett opp en selvkostkalkyle for virksomheten og finn tilvirkningskost og selvkost for bedriften</a:t>
          </a:r>
        </a:p>
        <a:p>
          <a:r>
            <a:rPr lang="nb-NO" sz="1100" baseline="0"/>
            <a:t>b) Hva er tilleggssatsen i Materialavdelingen</a:t>
          </a:r>
        </a:p>
        <a:p>
          <a:r>
            <a:rPr lang="nb-NO" sz="1100" baseline="0"/>
            <a:t>c) Hva er  tilleggssatsen i tilvirkningsavdelingen?</a:t>
          </a:r>
        </a:p>
        <a:p>
          <a:r>
            <a:rPr lang="nb-NO" sz="1100" baseline="0"/>
            <a:t>d) Hva er tilleggssatsaen i salgs- og administrasjonsavdelingen?</a:t>
          </a:r>
        </a:p>
        <a:p>
          <a:endParaRPr lang="nb-NO" sz="1100" baseline="0"/>
        </a:p>
        <a:p>
          <a:r>
            <a:rPr lang="nb-NO" sz="1100" baseline="0"/>
            <a:t>For ett av produktene gikk det med følgende ressurser:</a:t>
          </a:r>
        </a:p>
        <a:p>
          <a:r>
            <a:rPr lang="nb-NO" sz="1100" baseline="0"/>
            <a:t>Direkte material kr 300</a:t>
          </a:r>
        </a:p>
        <a:p>
          <a:r>
            <a:rPr lang="nb-NO" sz="1100" baseline="0"/>
            <a:t>Direkte lønn	kr 185</a:t>
          </a:r>
        </a:p>
        <a:p>
          <a:r>
            <a:rPr lang="nb-NO" sz="1100" baseline="0"/>
            <a:t>Maskintimer	2,5 timer</a:t>
          </a:r>
        </a:p>
        <a:p>
          <a:r>
            <a:rPr lang="nb-NO" sz="1100" baseline="0"/>
            <a:t>Virksomheten beregner seg et fortjenestetillegg på 10 %.</a:t>
          </a:r>
        </a:p>
        <a:p>
          <a:endParaRPr lang="nb-NO" sz="1100" baseline="0"/>
        </a:p>
        <a:p>
          <a:r>
            <a:rPr lang="nb-NO" sz="1100" baseline="0"/>
            <a:t>e) Hva er produktets selvkost?</a:t>
          </a:r>
        </a:p>
        <a:p>
          <a:r>
            <a:rPr lang="nb-NO" sz="1100" baseline="0"/>
            <a:t>f) Hva er produktets salgspris?</a:t>
          </a:r>
        </a:p>
        <a:p>
          <a:endParaRPr lang="nb-NO" sz="1100" baseline="0"/>
        </a:p>
        <a:p>
          <a:endParaRPr lang="nb-N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1</xdr:row>
      <xdr:rowOff>30480</xdr:rowOff>
    </xdr:from>
    <xdr:to>
      <xdr:col>3</xdr:col>
      <xdr:colOff>205740</xdr:colOff>
      <xdr:row>6</xdr:row>
      <xdr:rowOff>45720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67BBCA38-692F-4964-946A-6BC8A50E3DFA}"/>
            </a:ext>
          </a:extLst>
        </xdr:cNvPr>
        <xdr:cNvSpPr txBox="1"/>
      </xdr:nvSpPr>
      <xdr:spPr>
        <a:xfrm>
          <a:off x="220980" y="213360"/>
          <a:ext cx="491490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Bedriften Elatron AS produserer Elektronikkkomponenter. Det eksisterer 2 konkurrenter som har tilsvarende produkter. Bedriften har et sammensurium av kostnader,</a:t>
          </a:r>
          <a:r>
            <a:rPr lang="nb-NO" sz="1100" baseline="0"/>
            <a:t> og det er vanskelig å finne ut hva bedriften tjener på de enkelt produkteten. </a:t>
          </a:r>
          <a:r>
            <a:rPr lang="nb-NO" sz="1100"/>
            <a:t>Du får følgende data oppgitt i bedriften for enn normalperiode</a:t>
          </a:r>
        </a:p>
      </xdr:txBody>
    </xdr:sp>
    <xdr:clientData/>
  </xdr:twoCellAnchor>
  <xdr:twoCellAnchor>
    <xdr:from>
      <xdr:col>1</xdr:col>
      <xdr:colOff>0</xdr:colOff>
      <xdr:row>23</xdr:row>
      <xdr:rowOff>53340</xdr:rowOff>
    </xdr:from>
    <xdr:to>
      <xdr:col>2</xdr:col>
      <xdr:colOff>1912620</xdr:colOff>
      <xdr:row>31</xdr:row>
      <xdr:rowOff>68580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8313378D-CCFB-4756-AFC3-1F8CA5C253E9}"/>
            </a:ext>
          </a:extLst>
        </xdr:cNvPr>
        <xdr:cNvSpPr txBox="1"/>
      </xdr:nvSpPr>
      <xdr:spPr>
        <a:xfrm>
          <a:off x="266700" y="4251960"/>
          <a:ext cx="4518660" cy="1478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I materialavdelingen benyttes direkte material som fordelingsgrunnlag. I</a:t>
          </a:r>
          <a:r>
            <a:rPr lang="nb-NO" sz="1100" baseline="0"/>
            <a:t> produksjon og montering er dirkete lønn som er fordelingsgrunnlag. For S/A er fordelingsgrunnlaget tilvirkningskost  for selvkostkalkylen og variable tilvirkningskost i bidragsmetoden.</a:t>
          </a:r>
        </a:p>
        <a:p>
          <a:endParaRPr lang="nb-NO" sz="1100"/>
        </a:p>
        <a:p>
          <a:r>
            <a:rPr lang="nb-NO" sz="1100"/>
            <a:t>a) Beregn Tilvirkningskost og Tilvirkningsmerkost</a:t>
          </a:r>
        </a:p>
        <a:p>
          <a:r>
            <a:rPr lang="nb-NO" sz="1100"/>
            <a:t>b) Beregn tillegssatser for bruk i selvkost- og bidragsmetoden</a:t>
          </a:r>
        </a:p>
        <a:p>
          <a:endParaRPr lang="nb-NO" sz="1100"/>
        </a:p>
      </xdr:txBody>
    </xdr:sp>
    <xdr:clientData/>
  </xdr:twoCellAnchor>
  <xdr:twoCellAnchor>
    <xdr:from>
      <xdr:col>0</xdr:col>
      <xdr:colOff>175260</xdr:colOff>
      <xdr:row>77</xdr:row>
      <xdr:rowOff>106680</xdr:rowOff>
    </xdr:from>
    <xdr:to>
      <xdr:col>3</xdr:col>
      <xdr:colOff>678180</xdr:colOff>
      <xdr:row>82</xdr:row>
      <xdr:rowOff>114300</xdr:rowOff>
    </xdr:to>
    <xdr:sp macro="" textlink="">
      <xdr:nvSpPr>
        <xdr:cNvPr id="4" name="TekstSylinder 3">
          <a:extLst>
            <a:ext uri="{FF2B5EF4-FFF2-40B4-BE49-F238E27FC236}">
              <a16:creationId xmlns:a16="http://schemas.microsoft.com/office/drawing/2014/main" id="{6E8E50C2-03D3-43B2-A7FC-5377DE856418}"/>
            </a:ext>
          </a:extLst>
        </xdr:cNvPr>
        <xdr:cNvSpPr txBox="1"/>
      </xdr:nvSpPr>
      <xdr:spPr>
        <a:xfrm>
          <a:off x="175260" y="14180820"/>
          <a:ext cx="543306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Bedriften har fått</a:t>
          </a:r>
          <a:r>
            <a:rPr lang="nb-NO" sz="1100" baseline="0"/>
            <a:t> forespørsel om de kan levere et parti på 1800 styringsenheter. Kunden vil betale kr 750 per enhet. Ordren er en tilleggsordre og påvirker ikke bedriften øvrige salg. For å avgjøre om bedriften bør akseptere odren får du oppgitt følgende opplysninger om partiet på 1800 enheter</a:t>
          </a:r>
        </a:p>
        <a:p>
          <a:endParaRPr lang="nb-NO" sz="1100"/>
        </a:p>
      </xdr:txBody>
    </xdr:sp>
    <xdr:clientData/>
  </xdr:twoCellAnchor>
  <xdr:twoCellAnchor>
    <xdr:from>
      <xdr:col>1</xdr:col>
      <xdr:colOff>0</xdr:colOff>
      <xdr:row>91</xdr:row>
      <xdr:rowOff>152400</xdr:rowOff>
    </xdr:from>
    <xdr:to>
      <xdr:col>3</xdr:col>
      <xdr:colOff>586740</xdr:colOff>
      <xdr:row>93</xdr:row>
      <xdr:rowOff>144780</xdr:rowOff>
    </xdr:to>
    <xdr:sp macro="" textlink="">
      <xdr:nvSpPr>
        <xdr:cNvPr id="5" name="TekstSylinder 4">
          <a:extLst>
            <a:ext uri="{FF2B5EF4-FFF2-40B4-BE49-F238E27FC236}">
              <a16:creationId xmlns:a16="http://schemas.microsoft.com/office/drawing/2014/main" id="{E883CF49-1985-4AB2-8BAE-9D07EA1A1130}"/>
            </a:ext>
          </a:extLst>
        </xdr:cNvPr>
        <xdr:cNvSpPr txBox="1"/>
      </xdr:nvSpPr>
      <xdr:spPr>
        <a:xfrm>
          <a:off x="266700" y="16786860"/>
          <a:ext cx="525018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c)  Sett opp ein selvkostkalkyle.</a:t>
          </a:r>
          <a:r>
            <a:rPr lang="nb-NO" sz="1100" baseline="0"/>
            <a:t> </a:t>
          </a:r>
          <a:r>
            <a:rPr lang="nb-NO" sz="1100"/>
            <a:t>Bør bedriften akseptere ordren? Begrunn svaret</a:t>
          </a:r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3</xdr:col>
      <xdr:colOff>617220</xdr:colOff>
      <xdr:row>112</xdr:row>
      <xdr:rowOff>121920</xdr:rowOff>
    </xdr:to>
    <xdr:sp macro="" textlink="">
      <xdr:nvSpPr>
        <xdr:cNvPr id="6" name="TekstSylinder 5">
          <a:extLst>
            <a:ext uri="{FF2B5EF4-FFF2-40B4-BE49-F238E27FC236}">
              <a16:creationId xmlns:a16="http://schemas.microsoft.com/office/drawing/2014/main" id="{7689E6F7-1344-4F69-A065-15FF596A6595}"/>
            </a:ext>
          </a:extLst>
        </xdr:cNvPr>
        <xdr:cNvSpPr txBox="1"/>
      </xdr:nvSpPr>
      <xdr:spPr>
        <a:xfrm>
          <a:off x="266700" y="20109180"/>
          <a:ext cx="5280660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d)  Sett opp en</a:t>
          </a:r>
          <a:r>
            <a:rPr lang="nb-NO" sz="1100" baseline="0"/>
            <a:t> bidragskalkyle</a:t>
          </a:r>
          <a:r>
            <a:rPr lang="nb-NO" sz="1100"/>
            <a:t>.</a:t>
          </a:r>
          <a:r>
            <a:rPr lang="nb-NO" sz="1100" baseline="0"/>
            <a:t> </a:t>
          </a:r>
          <a:r>
            <a:rPr lang="nb-NO" sz="1100"/>
            <a:t>Bør bedriften akseptere ordren ut fra denne kalkylen ? Begrunn svaret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D26C-8BE1-474C-A11D-2FD8D5B6379E}">
  <dimension ref="A1"/>
  <sheetViews>
    <sheetView workbookViewId="0">
      <selection activeCell="K14" sqref="K14"/>
    </sheetView>
  </sheetViews>
  <sheetFormatPr baseColWidth="10" defaultRowHeight="14.5" x14ac:dyDescent="0.35"/>
  <sheetData>
    <row r="1" spans="1:1" x14ac:dyDescent="0.35">
      <c r="A1" s="11" t="s">
        <v>84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selection activeCell="B1" sqref="B1"/>
    </sheetView>
  </sheetViews>
  <sheetFormatPr baseColWidth="10" defaultRowHeight="14.5" x14ac:dyDescent="0.35"/>
  <cols>
    <col min="1" max="1" width="7.6328125" customWidth="1"/>
    <col min="2" max="2" width="25.08984375" customWidth="1"/>
    <col min="3" max="3" width="16.36328125" customWidth="1"/>
    <col min="4" max="4" width="12.90625" customWidth="1"/>
  </cols>
  <sheetData>
    <row r="1" spans="1:3" x14ac:dyDescent="0.35">
      <c r="B1" s="11" t="s">
        <v>209</v>
      </c>
    </row>
    <row r="13" spans="1:3" x14ac:dyDescent="0.35">
      <c r="A13" t="s">
        <v>35</v>
      </c>
    </row>
    <row r="14" spans="1:3" x14ac:dyDescent="0.35">
      <c r="B14" t="s">
        <v>0</v>
      </c>
      <c r="C14" s="2">
        <v>100000</v>
      </c>
    </row>
    <row r="15" spans="1:3" x14ac:dyDescent="0.35">
      <c r="A15" s="21" t="s">
        <v>1</v>
      </c>
      <c r="B15" t="s">
        <v>2</v>
      </c>
      <c r="C15" s="2">
        <v>5000</v>
      </c>
    </row>
    <row r="16" spans="1:3" x14ac:dyDescent="0.35">
      <c r="A16" s="27" t="s">
        <v>3</v>
      </c>
      <c r="B16" s="6" t="s">
        <v>4</v>
      </c>
      <c r="C16" s="9">
        <v>1500</v>
      </c>
    </row>
    <row r="17" spans="1:4" ht="15" thickBot="1" x14ac:dyDescent="0.4">
      <c r="A17" s="21" t="s">
        <v>5</v>
      </c>
      <c r="B17" s="20" t="s">
        <v>109</v>
      </c>
      <c r="C17" s="24">
        <f>SUM(C14:C16)</f>
        <v>106500</v>
      </c>
    </row>
    <row r="19" spans="1:4" x14ac:dyDescent="0.35">
      <c r="A19" s="1"/>
      <c r="B19" s="1" t="s">
        <v>6</v>
      </c>
      <c r="C19" s="1" t="s">
        <v>7</v>
      </c>
      <c r="D19" s="25" t="s">
        <v>8</v>
      </c>
    </row>
    <row r="21" spans="1:4" x14ac:dyDescent="0.35">
      <c r="A21" t="s">
        <v>51</v>
      </c>
    </row>
    <row r="22" spans="1:4" x14ac:dyDescent="0.35">
      <c r="B22" t="s">
        <v>9</v>
      </c>
      <c r="D22" s="2">
        <f>C17</f>
        <v>106500</v>
      </c>
    </row>
    <row r="23" spans="1:4" x14ac:dyDescent="0.35">
      <c r="A23" s="27" t="s">
        <v>1</v>
      </c>
      <c r="B23" s="6" t="s">
        <v>110</v>
      </c>
      <c r="C23" s="6" t="s">
        <v>41</v>
      </c>
      <c r="D23" s="9">
        <v>63900</v>
      </c>
    </row>
    <row r="24" spans="1:4" x14ac:dyDescent="0.35">
      <c r="A24" s="21" t="s">
        <v>5</v>
      </c>
      <c r="B24" t="s">
        <v>10</v>
      </c>
      <c r="D24" s="19">
        <f>SUM(D22:D23)</f>
        <v>170400</v>
      </c>
    </row>
    <row r="25" spans="1:4" x14ac:dyDescent="0.35">
      <c r="A25" s="27" t="s">
        <v>11</v>
      </c>
      <c r="B25" s="6" t="s">
        <v>12</v>
      </c>
      <c r="C25" s="6" t="s">
        <v>42</v>
      </c>
      <c r="D25" s="9">
        <v>34080</v>
      </c>
    </row>
    <row r="26" spans="1:4" x14ac:dyDescent="0.35">
      <c r="A26" s="21" t="s">
        <v>5</v>
      </c>
      <c r="B26" t="s">
        <v>13</v>
      </c>
      <c r="D26" s="19">
        <f>SUM(D24:D25)</f>
        <v>204480</v>
      </c>
    </row>
    <row r="27" spans="1:4" x14ac:dyDescent="0.35">
      <c r="D27" s="19"/>
    </row>
    <row r="28" spans="1:4" x14ac:dyDescent="0.35">
      <c r="A28" s="1"/>
      <c r="B28" s="1" t="s">
        <v>111</v>
      </c>
      <c r="C28" s="1" t="s">
        <v>14</v>
      </c>
      <c r="D28" s="18">
        <v>2044.8</v>
      </c>
    </row>
    <row r="29" spans="1:4" x14ac:dyDescent="0.35">
      <c r="D29" s="17"/>
    </row>
    <row r="31" spans="1:4" x14ac:dyDescent="0.35">
      <c r="A31" t="s">
        <v>52</v>
      </c>
      <c r="D31" s="21"/>
    </row>
    <row r="32" spans="1:4" x14ac:dyDescent="0.35">
      <c r="B32" t="s">
        <v>15</v>
      </c>
      <c r="C32" s="17"/>
      <c r="D32" s="2">
        <v>204480</v>
      </c>
    </row>
    <row r="33" spans="1:5" x14ac:dyDescent="0.35">
      <c r="A33" s="27" t="s">
        <v>115</v>
      </c>
      <c r="B33" s="6" t="s">
        <v>16</v>
      </c>
      <c r="C33" s="22"/>
      <c r="D33" s="9">
        <v>106500</v>
      </c>
    </row>
    <row r="34" spans="1:5" x14ac:dyDescent="0.35">
      <c r="A34" s="28" t="s">
        <v>5</v>
      </c>
      <c r="B34" s="10" t="s">
        <v>17</v>
      </c>
      <c r="C34" s="23"/>
      <c r="D34" s="26">
        <v>97980</v>
      </c>
    </row>
    <row r="37" spans="1:5" x14ac:dyDescent="0.35">
      <c r="B37" t="s">
        <v>15</v>
      </c>
      <c r="C37" s="17"/>
      <c r="D37" s="2">
        <v>204480</v>
      </c>
    </row>
    <row r="38" spans="1:5" x14ac:dyDescent="0.35">
      <c r="A38" s="27" t="s">
        <v>115</v>
      </c>
      <c r="B38" s="6" t="s">
        <v>16</v>
      </c>
      <c r="C38" s="22"/>
      <c r="D38" s="9">
        <v>106500</v>
      </c>
    </row>
    <row r="39" spans="1:5" x14ac:dyDescent="0.35">
      <c r="A39" s="28" t="s">
        <v>5</v>
      </c>
      <c r="B39" s="10" t="s">
        <v>18</v>
      </c>
      <c r="C39" s="23"/>
      <c r="D39" s="26">
        <v>97980</v>
      </c>
    </row>
    <row r="41" spans="1:5" x14ac:dyDescent="0.35">
      <c r="A41" t="s">
        <v>53</v>
      </c>
    </row>
    <row r="43" spans="1:5" x14ac:dyDescent="0.35">
      <c r="B43" s="45" t="s">
        <v>19</v>
      </c>
      <c r="C43" s="3" t="s">
        <v>20</v>
      </c>
      <c r="D43" s="3" t="s">
        <v>21</v>
      </c>
      <c r="E43" s="46" t="s">
        <v>22</v>
      </c>
    </row>
    <row r="44" spans="1:5" x14ac:dyDescent="0.35">
      <c r="B44" s="45"/>
      <c r="C44" s="3" t="s">
        <v>23</v>
      </c>
      <c r="D44" s="4">
        <v>204480</v>
      </c>
      <c r="E44" s="46"/>
    </row>
    <row r="45" spans="1:5" x14ac:dyDescent="0.35">
      <c r="E45" s="11"/>
    </row>
    <row r="46" spans="1:5" x14ac:dyDescent="0.35">
      <c r="B46" s="45" t="s">
        <v>24</v>
      </c>
      <c r="C46" s="3" t="s">
        <v>25</v>
      </c>
      <c r="D46" s="3" t="s">
        <v>21</v>
      </c>
      <c r="E46" s="46" t="s">
        <v>26</v>
      </c>
    </row>
    <row r="47" spans="1:5" x14ac:dyDescent="0.35">
      <c r="B47" s="45"/>
      <c r="C47" s="3" t="s">
        <v>9</v>
      </c>
      <c r="D47" s="4">
        <v>106500</v>
      </c>
      <c r="E47" s="46"/>
    </row>
  </sheetData>
  <mergeCells count="4">
    <mergeCell ref="B43:B44"/>
    <mergeCell ref="E43:E44"/>
    <mergeCell ref="B46:B47"/>
    <mergeCell ref="E46:E4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"/>
  <sheetViews>
    <sheetView topLeftCell="A40" workbookViewId="0">
      <selection activeCell="D28" sqref="D28"/>
    </sheetView>
  </sheetViews>
  <sheetFormatPr baseColWidth="10" defaultRowHeight="14.5" x14ac:dyDescent="0.35"/>
  <cols>
    <col min="1" max="1" width="2" customWidth="1"/>
    <col min="2" max="2" width="43.453125" customWidth="1"/>
    <col min="3" max="3" width="23.1796875" customWidth="1"/>
  </cols>
  <sheetData>
    <row r="1" spans="1:3" x14ac:dyDescent="0.35">
      <c r="B1" s="11" t="s">
        <v>50</v>
      </c>
    </row>
    <row r="2" spans="1:3" x14ac:dyDescent="0.35">
      <c r="B2" t="s">
        <v>40</v>
      </c>
    </row>
    <row r="3" spans="1:3" x14ac:dyDescent="0.35">
      <c r="C3" s="2"/>
    </row>
    <row r="4" spans="1:3" x14ac:dyDescent="0.35">
      <c r="B4" t="s">
        <v>27</v>
      </c>
      <c r="C4" s="2">
        <v>20000</v>
      </c>
    </row>
    <row r="5" spans="1:3" x14ac:dyDescent="0.35">
      <c r="B5" t="s">
        <v>28</v>
      </c>
      <c r="C5" s="2">
        <v>15000</v>
      </c>
    </row>
    <row r="6" spans="1:3" x14ac:dyDescent="0.35">
      <c r="B6" s="11" t="s">
        <v>104</v>
      </c>
      <c r="C6" s="2"/>
    </row>
    <row r="7" spans="1:3" x14ac:dyDescent="0.35">
      <c r="B7" t="s">
        <v>29</v>
      </c>
      <c r="C7" s="2">
        <v>5000</v>
      </c>
    </row>
    <row r="8" spans="1:3" x14ac:dyDescent="0.35">
      <c r="B8" t="s">
        <v>38</v>
      </c>
      <c r="C8" s="2">
        <v>3000</v>
      </c>
    </row>
    <row r="9" spans="1:3" x14ac:dyDescent="0.35">
      <c r="B9" t="s">
        <v>79</v>
      </c>
      <c r="C9" s="2">
        <v>2000</v>
      </c>
    </row>
    <row r="11" spans="1:3" x14ac:dyDescent="0.35">
      <c r="B11" t="s">
        <v>97</v>
      </c>
    </row>
    <row r="12" spans="1:3" x14ac:dyDescent="0.35">
      <c r="B12" t="s">
        <v>105</v>
      </c>
    </row>
    <row r="13" spans="1:3" x14ac:dyDescent="0.35">
      <c r="B13" t="s">
        <v>80</v>
      </c>
    </row>
    <row r="15" spans="1:3" x14ac:dyDescent="0.35">
      <c r="A15" t="s">
        <v>35</v>
      </c>
      <c r="B15" t="s">
        <v>49</v>
      </c>
    </row>
    <row r="17" spans="2:4" x14ac:dyDescent="0.35">
      <c r="B17" t="s">
        <v>27</v>
      </c>
      <c r="C17" s="2">
        <f>C4</f>
        <v>20000</v>
      </c>
    </row>
    <row r="18" spans="2:4" x14ac:dyDescent="0.35">
      <c r="B18" t="s">
        <v>28</v>
      </c>
      <c r="C18" s="2">
        <f>C5</f>
        <v>15000</v>
      </c>
    </row>
    <row r="19" spans="2:4" x14ac:dyDescent="0.35">
      <c r="B19" t="s">
        <v>94</v>
      </c>
      <c r="C19" s="2">
        <f>C7</f>
        <v>5000</v>
      </c>
    </row>
    <row r="20" spans="2:4" x14ac:dyDescent="0.35">
      <c r="B20" s="6" t="s">
        <v>95</v>
      </c>
      <c r="C20" s="9">
        <f>C8</f>
        <v>3000</v>
      </c>
    </row>
    <row r="21" spans="2:4" x14ac:dyDescent="0.35">
      <c r="B21" s="11" t="s">
        <v>30</v>
      </c>
      <c r="C21" s="19">
        <f>SUM(C17:C20)</f>
        <v>43000</v>
      </c>
    </row>
    <row r="22" spans="2:4" x14ac:dyDescent="0.35">
      <c r="B22" s="6" t="s">
        <v>96</v>
      </c>
      <c r="C22" s="9">
        <f>C9</f>
        <v>2000</v>
      </c>
    </row>
    <row r="23" spans="2:4" x14ac:dyDescent="0.35">
      <c r="B23" s="12" t="s">
        <v>10</v>
      </c>
      <c r="C23" s="26">
        <f>SUM(C21:C22)</f>
        <v>45000</v>
      </c>
    </row>
    <row r="25" spans="2:4" x14ac:dyDescent="0.35">
      <c r="B25" s="11" t="s">
        <v>56</v>
      </c>
    </row>
    <row r="26" spans="2:4" x14ac:dyDescent="0.35">
      <c r="B26" s="15" t="s">
        <v>98</v>
      </c>
      <c r="C26" s="16" t="s">
        <v>85</v>
      </c>
      <c r="D26" s="30">
        <f>C19/C17</f>
        <v>0.25</v>
      </c>
    </row>
    <row r="27" spans="2:4" x14ac:dyDescent="0.35">
      <c r="B27" s="14" t="s">
        <v>39</v>
      </c>
      <c r="C27" t="s">
        <v>86</v>
      </c>
      <c r="D27" s="31">
        <f>C8/C5</f>
        <v>0.2</v>
      </c>
    </row>
    <row r="28" spans="2:4" x14ac:dyDescent="0.35">
      <c r="B28" s="29" t="s">
        <v>37</v>
      </c>
      <c r="C28" s="6" t="s">
        <v>87</v>
      </c>
      <c r="D28" s="32">
        <f>C22/C21</f>
        <v>4.6511627906976744E-2</v>
      </c>
    </row>
    <row r="30" spans="2:4" x14ac:dyDescent="0.35">
      <c r="B30" t="s">
        <v>208</v>
      </c>
    </row>
    <row r="31" spans="2:4" x14ac:dyDescent="0.35">
      <c r="B31" t="s">
        <v>78</v>
      </c>
    </row>
    <row r="32" spans="2:4" x14ac:dyDescent="0.35">
      <c r="B32" t="s">
        <v>99</v>
      </c>
      <c r="D32" s="13"/>
    </row>
    <row r="34" spans="1:4" x14ac:dyDescent="0.35">
      <c r="B34" t="s">
        <v>43</v>
      </c>
      <c r="C34" s="7">
        <v>3000</v>
      </c>
      <c r="D34" s="13"/>
    </row>
    <row r="35" spans="1:4" x14ac:dyDescent="0.35">
      <c r="B35" t="s">
        <v>44</v>
      </c>
      <c r="C35" s="7">
        <v>2000</v>
      </c>
    </row>
    <row r="36" spans="1:4" x14ac:dyDescent="0.35">
      <c r="B36" t="s">
        <v>45</v>
      </c>
      <c r="C36" s="7">
        <v>1000</v>
      </c>
    </row>
    <row r="37" spans="1:4" x14ac:dyDescent="0.35">
      <c r="B37" t="s">
        <v>46</v>
      </c>
      <c r="C37" s="7">
        <v>2000</v>
      </c>
    </row>
    <row r="38" spans="1:4" x14ac:dyDescent="0.35">
      <c r="B38" t="s">
        <v>47</v>
      </c>
      <c r="C38" s="7">
        <v>500</v>
      </c>
    </row>
    <row r="39" spans="1:4" x14ac:dyDescent="0.35">
      <c r="B39" t="s">
        <v>100</v>
      </c>
      <c r="C39" s="7">
        <v>1500</v>
      </c>
    </row>
    <row r="40" spans="1:4" x14ac:dyDescent="0.35">
      <c r="C40" s="7"/>
    </row>
    <row r="41" spans="1:4" x14ac:dyDescent="0.35">
      <c r="A41" t="s">
        <v>36</v>
      </c>
      <c r="B41" t="s">
        <v>48</v>
      </c>
      <c r="C41" s="2"/>
    </row>
    <row r="42" spans="1:4" x14ac:dyDescent="0.35">
      <c r="C42" s="7"/>
    </row>
    <row r="43" spans="1:4" x14ac:dyDescent="0.35">
      <c r="B43" t="s">
        <v>27</v>
      </c>
      <c r="C43" s="7">
        <f>C4</f>
        <v>20000</v>
      </c>
    </row>
    <row r="44" spans="1:4" x14ac:dyDescent="0.35">
      <c r="B44" t="s">
        <v>28</v>
      </c>
      <c r="C44" s="7">
        <f>C5</f>
        <v>15000</v>
      </c>
    </row>
    <row r="45" spans="1:4" x14ac:dyDescent="0.35">
      <c r="B45" t="s">
        <v>101</v>
      </c>
      <c r="C45" s="7">
        <f>C34</f>
        <v>3000</v>
      </c>
    </row>
    <row r="46" spans="1:4" x14ac:dyDescent="0.35">
      <c r="B46" s="6" t="s">
        <v>102</v>
      </c>
      <c r="C46" s="8">
        <f>C36</f>
        <v>1000</v>
      </c>
    </row>
    <row r="47" spans="1:4" x14ac:dyDescent="0.35">
      <c r="B47" s="11" t="s">
        <v>54</v>
      </c>
      <c r="C47" s="37">
        <f>SUM(C43:C46)</f>
        <v>39000</v>
      </c>
    </row>
    <row r="48" spans="1:4" x14ac:dyDescent="0.35">
      <c r="B48" s="6" t="s">
        <v>96</v>
      </c>
      <c r="C48" s="8">
        <f>C38</f>
        <v>500</v>
      </c>
    </row>
    <row r="49" spans="2:4" x14ac:dyDescent="0.35">
      <c r="B49" s="12" t="s">
        <v>55</v>
      </c>
      <c r="C49" s="38">
        <f>SUM(C47:C48)</f>
        <v>39500</v>
      </c>
    </row>
    <row r="50" spans="2:4" x14ac:dyDescent="0.35">
      <c r="C50" s="2"/>
    </row>
    <row r="53" spans="2:4" x14ac:dyDescent="0.35">
      <c r="B53" s="11" t="s">
        <v>57</v>
      </c>
    </row>
    <row r="54" spans="2:4" x14ac:dyDescent="0.35">
      <c r="B54" s="15" t="s">
        <v>103</v>
      </c>
      <c r="C54" s="16" t="s">
        <v>90</v>
      </c>
      <c r="D54" s="30">
        <f>C45/C43</f>
        <v>0.15</v>
      </c>
    </row>
    <row r="55" spans="2:4" x14ac:dyDescent="0.35">
      <c r="B55" s="14" t="s">
        <v>88</v>
      </c>
      <c r="C55" t="s">
        <v>91</v>
      </c>
      <c r="D55" s="31">
        <f>C46/C44</f>
        <v>6.6666666666666666E-2</v>
      </c>
    </row>
    <row r="56" spans="2:4" x14ac:dyDescent="0.35">
      <c r="B56" s="29" t="s">
        <v>89</v>
      </c>
      <c r="C56" s="6" t="s">
        <v>92</v>
      </c>
      <c r="D56" s="32">
        <f>C48/C47</f>
        <v>1.282051282051282E-2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selection activeCell="B1" sqref="B1"/>
    </sheetView>
  </sheetViews>
  <sheetFormatPr baseColWidth="10" defaultRowHeight="14.5" x14ac:dyDescent="0.35"/>
  <cols>
    <col min="1" max="1" width="4.6328125" customWidth="1"/>
    <col min="2" max="2" width="36" customWidth="1"/>
    <col min="3" max="3" width="17.81640625" customWidth="1"/>
    <col min="4" max="4" width="27.1796875" customWidth="1"/>
  </cols>
  <sheetData>
    <row r="1" spans="2:4" x14ac:dyDescent="0.35">
      <c r="B1" s="11" t="s">
        <v>34</v>
      </c>
    </row>
    <row r="3" spans="2:4" x14ac:dyDescent="0.35">
      <c r="B3" t="s">
        <v>58</v>
      </c>
    </row>
    <row r="4" spans="2:4" x14ac:dyDescent="0.35">
      <c r="B4" t="s">
        <v>59</v>
      </c>
    </row>
    <row r="6" spans="2:4" x14ac:dyDescent="0.35">
      <c r="B6" s="33" t="s">
        <v>104</v>
      </c>
      <c r="C6" s="33"/>
      <c r="D6" s="34" t="s">
        <v>63</v>
      </c>
    </row>
    <row r="7" spans="2:4" x14ac:dyDescent="0.35">
      <c r="B7" t="s">
        <v>60</v>
      </c>
      <c r="C7" s="2">
        <v>520000</v>
      </c>
      <c r="D7" s="21" t="s">
        <v>64</v>
      </c>
    </row>
    <row r="8" spans="2:4" x14ac:dyDescent="0.35">
      <c r="B8" t="s">
        <v>61</v>
      </c>
      <c r="C8" s="2">
        <v>480000</v>
      </c>
      <c r="D8" s="21" t="s">
        <v>65</v>
      </c>
    </row>
    <row r="9" spans="2:4" x14ac:dyDescent="0.35">
      <c r="B9" t="s">
        <v>62</v>
      </c>
      <c r="C9" s="2">
        <v>670000</v>
      </c>
      <c r="D9" s="21" t="s">
        <v>66</v>
      </c>
    </row>
    <row r="10" spans="2:4" x14ac:dyDescent="0.35">
      <c r="C10" s="2"/>
    </row>
    <row r="11" spans="2:4" x14ac:dyDescent="0.35">
      <c r="B11" t="s">
        <v>106</v>
      </c>
      <c r="C11" s="2"/>
    </row>
    <row r="12" spans="2:4" x14ac:dyDescent="0.35">
      <c r="C12" s="2"/>
    </row>
    <row r="13" spans="2:4" x14ac:dyDescent="0.35">
      <c r="B13" t="s">
        <v>67</v>
      </c>
      <c r="C13" s="2">
        <v>800000</v>
      </c>
    </row>
    <row r="14" spans="2:4" x14ac:dyDescent="0.35">
      <c r="B14" t="s">
        <v>68</v>
      </c>
      <c r="C14" s="2">
        <v>800000</v>
      </c>
    </row>
    <row r="15" spans="2:4" x14ac:dyDescent="0.35">
      <c r="B15" t="s">
        <v>69</v>
      </c>
      <c r="C15" s="2">
        <v>750000</v>
      </c>
    </row>
    <row r="17" spans="1:3" x14ac:dyDescent="0.35">
      <c r="B17" t="s">
        <v>70</v>
      </c>
    </row>
    <row r="19" spans="1:3" x14ac:dyDescent="0.35">
      <c r="A19" t="s">
        <v>35</v>
      </c>
      <c r="B19" t="s">
        <v>71</v>
      </c>
    </row>
    <row r="20" spans="1:3" x14ac:dyDescent="0.35">
      <c r="A20" t="s">
        <v>72</v>
      </c>
      <c r="B20" t="s">
        <v>73</v>
      </c>
    </row>
    <row r="22" spans="1:3" x14ac:dyDescent="0.35">
      <c r="B22" s="11" t="s">
        <v>75</v>
      </c>
    </row>
    <row r="24" spans="1:3" x14ac:dyDescent="0.35">
      <c r="A24" t="s">
        <v>35</v>
      </c>
      <c r="B24" t="s">
        <v>27</v>
      </c>
      <c r="C24" s="2">
        <f>C13</f>
        <v>800000</v>
      </c>
    </row>
    <row r="25" spans="1:3" x14ac:dyDescent="0.35">
      <c r="B25" t="s">
        <v>68</v>
      </c>
      <c r="C25" s="2">
        <f>C14</f>
        <v>800000</v>
      </c>
    </row>
    <row r="26" spans="1:3" x14ac:dyDescent="0.35">
      <c r="B26" t="s">
        <v>74</v>
      </c>
      <c r="C26" s="2">
        <f>C15</f>
        <v>750000</v>
      </c>
    </row>
    <row r="27" spans="1:3" x14ac:dyDescent="0.35">
      <c r="B27" t="s">
        <v>107</v>
      </c>
      <c r="C27" s="2">
        <f>C7</f>
        <v>520000</v>
      </c>
    </row>
    <row r="28" spans="1:3" x14ac:dyDescent="0.35">
      <c r="B28" s="6" t="s">
        <v>108</v>
      </c>
      <c r="C28" s="9">
        <f>C8</f>
        <v>480000</v>
      </c>
    </row>
    <row r="29" spans="1:3" x14ac:dyDescent="0.35">
      <c r="B29" s="12" t="s">
        <v>30</v>
      </c>
      <c r="C29" s="26">
        <f>SUM(C24:C28)</f>
        <v>3350000</v>
      </c>
    </row>
    <row r="32" spans="1:3" x14ac:dyDescent="0.35">
      <c r="A32" t="s">
        <v>36</v>
      </c>
      <c r="B32" t="s">
        <v>76</v>
      </c>
    </row>
    <row r="33" spans="2:4" x14ac:dyDescent="0.35">
      <c r="B33" t="s">
        <v>60</v>
      </c>
      <c r="C33" t="s">
        <v>113</v>
      </c>
      <c r="D33" s="35">
        <f>C7/C14</f>
        <v>0.65</v>
      </c>
    </row>
    <row r="34" spans="2:4" x14ac:dyDescent="0.35">
      <c r="B34" t="s">
        <v>61</v>
      </c>
      <c r="C34" t="s">
        <v>112</v>
      </c>
      <c r="D34" s="36">
        <f>C8/9600</f>
        <v>50</v>
      </c>
    </row>
    <row r="35" spans="2:4" x14ac:dyDescent="0.35">
      <c r="B35" t="s">
        <v>77</v>
      </c>
      <c r="C35" t="s">
        <v>114</v>
      </c>
      <c r="D35" s="35">
        <f>C9/C29</f>
        <v>0.2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1C78-457E-476C-AE87-42CB7C0DEB6B}">
  <dimension ref="A1:E50"/>
  <sheetViews>
    <sheetView topLeftCell="A16" workbookViewId="0">
      <selection activeCell="J26" sqref="J26"/>
    </sheetView>
  </sheetViews>
  <sheetFormatPr baseColWidth="10" defaultRowHeight="14.5" x14ac:dyDescent="0.35"/>
  <cols>
    <col min="1" max="1" width="2.54296875" customWidth="1"/>
    <col min="2" max="2" width="35.36328125" customWidth="1"/>
    <col min="3" max="3" width="17.81640625" customWidth="1"/>
    <col min="4" max="4" width="18.08984375" customWidth="1"/>
    <col min="5" max="5" width="12" customWidth="1"/>
  </cols>
  <sheetData>
    <row r="1" spans="2:5" x14ac:dyDescent="0.35">
      <c r="B1" s="11" t="s">
        <v>93</v>
      </c>
    </row>
    <row r="2" spans="2:5" x14ac:dyDescent="0.35">
      <c r="B2" t="s">
        <v>211</v>
      </c>
    </row>
    <row r="4" spans="2:5" x14ac:dyDescent="0.35">
      <c r="B4" s="1"/>
      <c r="C4" s="42" t="s">
        <v>142</v>
      </c>
      <c r="D4" s="42" t="s">
        <v>141</v>
      </c>
      <c r="E4" s="42" t="s">
        <v>140</v>
      </c>
    </row>
    <row r="5" spans="2:5" x14ac:dyDescent="0.35">
      <c r="B5" s="1" t="s">
        <v>137</v>
      </c>
      <c r="C5" s="41">
        <v>600000</v>
      </c>
      <c r="D5" s="41"/>
      <c r="E5" s="41"/>
    </row>
    <row r="6" spans="2:5" x14ac:dyDescent="0.35">
      <c r="B6" s="1" t="s">
        <v>28</v>
      </c>
      <c r="C6" s="41"/>
      <c r="D6" s="41">
        <v>1000000</v>
      </c>
      <c r="E6" s="41"/>
    </row>
    <row r="7" spans="2:5" x14ac:dyDescent="0.35">
      <c r="B7" s="1" t="s">
        <v>139</v>
      </c>
      <c r="C7" s="41">
        <v>300000</v>
      </c>
      <c r="D7" s="41">
        <v>320000</v>
      </c>
      <c r="E7" s="41">
        <v>265000</v>
      </c>
    </row>
    <row r="8" spans="2:5" x14ac:dyDescent="0.35">
      <c r="B8" s="1" t="s">
        <v>138</v>
      </c>
      <c r="C8" s="41">
        <v>270000</v>
      </c>
      <c r="D8" s="41">
        <v>160000</v>
      </c>
      <c r="E8" s="41">
        <v>397000</v>
      </c>
    </row>
    <row r="26" spans="1:3" x14ac:dyDescent="0.35">
      <c r="A26" t="s">
        <v>35</v>
      </c>
      <c r="B26" t="s">
        <v>137</v>
      </c>
      <c r="C26" s="7">
        <v>600000</v>
      </c>
    </row>
    <row r="27" spans="1:3" x14ac:dyDescent="0.35">
      <c r="B27" t="s">
        <v>136</v>
      </c>
      <c r="C27" s="7">
        <v>1000000</v>
      </c>
    </row>
    <row r="28" spans="1:3" x14ac:dyDescent="0.35">
      <c r="B28" t="s">
        <v>126</v>
      </c>
      <c r="C28" s="7">
        <v>570000</v>
      </c>
    </row>
    <row r="29" spans="1:3" x14ac:dyDescent="0.35">
      <c r="B29" s="6" t="s">
        <v>135</v>
      </c>
      <c r="C29" s="8">
        <v>480000</v>
      </c>
    </row>
    <row r="30" spans="1:3" x14ac:dyDescent="0.35">
      <c r="B30" t="s">
        <v>30</v>
      </c>
      <c r="C30" s="7">
        <f>SUM(C26:C29)</f>
        <v>2650000</v>
      </c>
    </row>
    <row r="31" spans="1:3" x14ac:dyDescent="0.35">
      <c r="B31" s="6" t="s">
        <v>121</v>
      </c>
      <c r="C31" s="8">
        <v>662000</v>
      </c>
    </row>
    <row r="32" spans="1:3" x14ac:dyDescent="0.35">
      <c r="B32" t="s">
        <v>10</v>
      </c>
      <c r="C32" s="7">
        <f>SUM(C30:C31)</f>
        <v>3312000</v>
      </c>
    </row>
    <row r="34" spans="1:4" x14ac:dyDescent="0.35">
      <c r="A34" t="s">
        <v>36</v>
      </c>
      <c r="B34" t="s">
        <v>134</v>
      </c>
      <c r="C34" t="s">
        <v>133</v>
      </c>
      <c r="D34" s="40">
        <v>0.95</v>
      </c>
    </row>
    <row r="36" spans="1:4" x14ac:dyDescent="0.35">
      <c r="A36" t="s">
        <v>83</v>
      </c>
      <c r="B36" t="s">
        <v>132</v>
      </c>
      <c r="C36" t="s">
        <v>131</v>
      </c>
      <c r="D36" s="40" t="s">
        <v>130</v>
      </c>
    </row>
    <row r="38" spans="1:4" x14ac:dyDescent="0.35">
      <c r="A38" t="s">
        <v>129</v>
      </c>
      <c r="B38" t="s">
        <v>128</v>
      </c>
      <c r="C38" t="s">
        <v>127</v>
      </c>
      <c r="D38" s="40">
        <v>0.25</v>
      </c>
    </row>
    <row r="40" spans="1:4" x14ac:dyDescent="0.35">
      <c r="A40" t="s">
        <v>53</v>
      </c>
      <c r="B40" t="s">
        <v>27</v>
      </c>
      <c r="D40" s="2">
        <v>300</v>
      </c>
    </row>
    <row r="41" spans="1:4" x14ac:dyDescent="0.35">
      <c r="B41" t="s">
        <v>28</v>
      </c>
      <c r="D41" s="2">
        <v>185</v>
      </c>
    </row>
    <row r="42" spans="1:4" x14ac:dyDescent="0.35">
      <c r="B42" t="s">
        <v>126</v>
      </c>
      <c r="C42" t="s">
        <v>125</v>
      </c>
      <c r="D42" s="2">
        <v>285</v>
      </c>
    </row>
    <row r="43" spans="1:4" x14ac:dyDescent="0.35">
      <c r="B43" s="6" t="s">
        <v>124</v>
      </c>
      <c r="C43" s="6" t="s">
        <v>123</v>
      </c>
      <c r="D43" s="9">
        <v>150</v>
      </c>
    </row>
    <row r="44" spans="1:4" x14ac:dyDescent="0.35">
      <c r="B44" t="s">
        <v>122</v>
      </c>
      <c r="D44" s="2">
        <f>SUM(D40:D43)</f>
        <v>920</v>
      </c>
    </row>
    <row r="45" spans="1:4" x14ac:dyDescent="0.35">
      <c r="B45" s="6" t="s">
        <v>121</v>
      </c>
      <c r="C45" s="6" t="s">
        <v>120</v>
      </c>
      <c r="D45" s="9">
        <v>230</v>
      </c>
    </row>
    <row r="46" spans="1:4" x14ac:dyDescent="0.35">
      <c r="B46" s="10" t="s">
        <v>10</v>
      </c>
      <c r="C46" s="10"/>
      <c r="D46" s="39">
        <f>SUM(D44:D45)</f>
        <v>1150</v>
      </c>
    </row>
    <row r="47" spans="1:4" x14ac:dyDescent="0.35">
      <c r="D47" s="2"/>
    </row>
    <row r="48" spans="1:4" x14ac:dyDescent="0.35">
      <c r="A48" t="s">
        <v>119</v>
      </c>
      <c r="B48" t="s">
        <v>10</v>
      </c>
      <c r="D48" s="2">
        <v>1150</v>
      </c>
    </row>
    <row r="49" spans="2:4" x14ac:dyDescent="0.35">
      <c r="B49" s="6" t="s">
        <v>118</v>
      </c>
      <c r="C49" s="6" t="s">
        <v>117</v>
      </c>
      <c r="D49" s="9">
        <v>115</v>
      </c>
    </row>
    <row r="50" spans="2:4" x14ac:dyDescent="0.35">
      <c r="B50" s="10" t="s">
        <v>116</v>
      </c>
      <c r="C50" s="10"/>
      <c r="D50" s="39">
        <f>SUM(D48:D49)</f>
        <v>1265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6371-03E5-4EE1-A7A8-E9A113CD282B}">
  <dimension ref="A1:D131"/>
  <sheetViews>
    <sheetView tabSelected="1" workbookViewId="0">
      <selection activeCell="B2" sqref="B2"/>
    </sheetView>
  </sheetViews>
  <sheetFormatPr baseColWidth="10" defaultRowHeight="14.5" x14ac:dyDescent="0.35"/>
  <cols>
    <col min="1" max="1" width="3.90625" customWidth="1"/>
    <col min="2" max="2" width="38" customWidth="1"/>
    <col min="3" max="3" width="30" customWidth="1"/>
  </cols>
  <sheetData>
    <row r="1" spans="2:3" x14ac:dyDescent="0.35">
      <c r="B1" s="11" t="s">
        <v>210</v>
      </c>
    </row>
    <row r="8" spans="2:3" x14ac:dyDescent="0.35">
      <c r="B8" t="s">
        <v>143</v>
      </c>
      <c r="C8" s="7">
        <v>18000</v>
      </c>
    </row>
    <row r="9" spans="2:3" x14ac:dyDescent="0.35">
      <c r="C9" s="7"/>
    </row>
    <row r="10" spans="2:3" x14ac:dyDescent="0.35">
      <c r="B10" t="s">
        <v>144</v>
      </c>
      <c r="C10" s="7">
        <v>2800000</v>
      </c>
    </row>
    <row r="11" spans="2:3" x14ac:dyDescent="0.35">
      <c r="B11" t="s">
        <v>145</v>
      </c>
      <c r="C11" s="7">
        <v>10500000</v>
      </c>
    </row>
    <row r="12" spans="2:3" x14ac:dyDescent="0.35">
      <c r="B12" t="s">
        <v>146</v>
      </c>
      <c r="C12" s="7">
        <v>6250000</v>
      </c>
    </row>
    <row r="13" spans="2:3" x14ac:dyDescent="0.35">
      <c r="C13" s="7"/>
    </row>
    <row r="14" spans="2:3" x14ac:dyDescent="0.35">
      <c r="B14" t="s">
        <v>43</v>
      </c>
      <c r="C14" s="7">
        <v>250000</v>
      </c>
    </row>
    <row r="15" spans="2:3" x14ac:dyDescent="0.35">
      <c r="B15" t="s">
        <v>147</v>
      </c>
      <c r="C15" s="7">
        <v>550000</v>
      </c>
    </row>
    <row r="16" spans="2:3" x14ac:dyDescent="0.35">
      <c r="B16" t="s">
        <v>148</v>
      </c>
      <c r="C16" s="7">
        <v>240000</v>
      </c>
    </row>
    <row r="17" spans="2:3" x14ac:dyDescent="0.35">
      <c r="B17" t="s">
        <v>149</v>
      </c>
      <c r="C17" s="7">
        <v>1234000</v>
      </c>
    </row>
    <row r="18" spans="2:3" x14ac:dyDescent="0.35">
      <c r="C18" s="7"/>
    </row>
    <row r="19" spans="2:3" ht="13.75" customHeight="1" x14ac:dyDescent="0.35">
      <c r="B19" t="s">
        <v>150</v>
      </c>
      <c r="C19" s="7">
        <v>150000</v>
      </c>
    </row>
    <row r="20" spans="2:3" x14ac:dyDescent="0.35">
      <c r="B20" t="s">
        <v>151</v>
      </c>
      <c r="C20" s="7">
        <v>200000</v>
      </c>
    </row>
    <row r="21" spans="2:3" x14ac:dyDescent="0.35">
      <c r="B21" t="s">
        <v>152</v>
      </c>
      <c r="C21" s="7">
        <v>160000</v>
      </c>
    </row>
    <row r="22" spans="2:3" x14ac:dyDescent="0.35">
      <c r="B22" t="s">
        <v>100</v>
      </c>
      <c r="C22" s="7">
        <v>2143000</v>
      </c>
    </row>
    <row r="23" spans="2:3" x14ac:dyDescent="0.35">
      <c r="C23" s="2"/>
    </row>
    <row r="24" spans="2:3" x14ac:dyDescent="0.35">
      <c r="C24" s="2"/>
    </row>
    <row r="25" spans="2:3" x14ac:dyDescent="0.35">
      <c r="C25" s="2"/>
    </row>
    <row r="34" spans="1:3" x14ac:dyDescent="0.35">
      <c r="B34" s="11" t="s">
        <v>33</v>
      </c>
    </row>
    <row r="35" spans="1:3" x14ac:dyDescent="0.35">
      <c r="A35" t="s">
        <v>35</v>
      </c>
      <c r="B35" t="s">
        <v>144</v>
      </c>
      <c r="C35" s="2">
        <f>C10</f>
        <v>2800000</v>
      </c>
    </row>
    <row r="36" spans="1:3" x14ac:dyDescent="0.35">
      <c r="B36" t="s">
        <v>145</v>
      </c>
      <c r="C36" s="2">
        <f>C11</f>
        <v>10500000</v>
      </c>
    </row>
    <row r="37" spans="1:3" x14ac:dyDescent="0.35">
      <c r="B37" t="s">
        <v>146</v>
      </c>
      <c r="C37" s="2">
        <f>C12</f>
        <v>6250000</v>
      </c>
    </row>
    <row r="38" spans="1:3" x14ac:dyDescent="0.35">
      <c r="B38" s="11" t="s">
        <v>153</v>
      </c>
      <c r="C38" s="2"/>
    </row>
    <row r="39" spans="1:3" x14ac:dyDescent="0.35">
      <c r="B39" t="s">
        <v>43</v>
      </c>
      <c r="C39" s="2">
        <f>C14</f>
        <v>250000</v>
      </c>
    </row>
    <row r="40" spans="1:3" x14ac:dyDescent="0.35">
      <c r="B40" t="s">
        <v>147</v>
      </c>
      <c r="C40" s="2">
        <f>C15</f>
        <v>550000</v>
      </c>
    </row>
    <row r="41" spans="1:3" x14ac:dyDescent="0.35">
      <c r="B41" t="s">
        <v>148</v>
      </c>
      <c r="C41" s="2">
        <f>C16</f>
        <v>240000</v>
      </c>
    </row>
    <row r="42" spans="1:3" x14ac:dyDescent="0.35">
      <c r="C42" s="2"/>
    </row>
    <row r="43" spans="1:3" x14ac:dyDescent="0.35">
      <c r="B43" t="s">
        <v>44</v>
      </c>
      <c r="C43" s="2">
        <f>C19</f>
        <v>150000</v>
      </c>
    </row>
    <row r="44" spans="1:3" x14ac:dyDescent="0.35">
      <c r="B44" t="s">
        <v>151</v>
      </c>
      <c r="C44" s="2">
        <f>C20</f>
        <v>200000</v>
      </c>
    </row>
    <row r="45" spans="1:3" x14ac:dyDescent="0.35">
      <c r="B45" s="6" t="s">
        <v>154</v>
      </c>
      <c r="C45" s="9">
        <f>C21</f>
        <v>160000</v>
      </c>
    </row>
    <row r="46" spans="1:3" x14ac:dyDescent="0.35">
      <c r="B46" s="11" t="s">
        <v>30</v>
      </c>
      <c r="C46" s="19">
        <f>SUM(C35:C45)</f>
        <v>21100000</v>
      </c>
    </row>
    <row r="47" spans="1:3" x14ac:dyDescent="0.35">
      <c r="B47" t="s">
        <v>155</v>
      </c>
      <c r="C47" s="2">
        <f>C17</f>
        <v>1234000</v>
      </c>
    </row>
    <row r="48" spans="1:3" x14ac:dyDescent="0.35">
      <c r="B48" s="6" t="s">
        <v>156</v>
      </c>
      <c r="C48" s="9">
        <f>C22</f>
        <v>2143000</v>
      </c>
    </row>
    <row r="49" spans="2:3" x14ac:dyDescent="0.35">
      <c r="B49" s="12" t="s">
        <v>10</v>
      </c>
      <c r="C49" s="26">
        <f>SUM(C46:C48)</f>
        <v>24477000</v>
      </c>
    </row>
    <row r="50" spans="2:3" x14ac:dyDescent="0.35">
      <c r="B50" s="11"/>
      <c r="C50" s="19"/>
    </row>
    <row r="51" spans="2:3" x14ac:dyDescent="0.35">
      <c r="B51" s="11"/>
      <c r="C51" s="19"/>
    </row>
    <row r="52" spans="2:3" x14ac:dyDescent="0.35">
      <c r="B52" s="11" t="s">
        <v>157</v>
      </c>
      <c r="C52" s="19"/>
    </row>
    <row r="53" spans="2:3" x14ac:dyDescent="0.35">
      <c r="B53" t="s">
        <v>144</v>
      </c>
      <c r="C53" s="2">
        <f>C10</f>
        <v>2800000</v>
      </c>
    </row>
    <row r="54" spans="2:3" x14ac:dyDescent="0.35">
      <c r="B54" t="s">
        <v>145</v>
      </c>
      <c r="C54" s="2">
        <f>C11</f>
        <v>10500000</v>
      </c>
    </row>
    <row r="55" spans="2:3" x14ac:dyDescent="0.35">
      <c r="B55" t="s">
        <v>146</v>
      </c>
      <c r="C55" s="2">
        <f>C12</f>
        <v>6250000</v>
      </c>
    </row>
    <row r="56" spans="2:3" x14ac:dyDescent="0.35">
      <c r="B56" s="11" t="s">
        <v>158</v>
      </c>
      <c r="C56" s="2"/>
    </row>
    <row r="57" spans="2:3" x14ac:dyDescent="0.35">
      <c r="B57" t="s">
        <v>43</v>
      </c>
      <c r="C57" s="2">
        <f>C14</f>
        <v>250000</v>
      </c>
    </row>
    <row r="58" spans="2:3" x14ac:dyDescent="0.35">
      <c r="B58" t="s">
        <v>147</v>
      </c>
      <c r="C58" s="2">
        <f>C15</f>
        <v>550000</v>
      </c>
    </row>
    <row r="59" spans="2:3" x14ac:dyDescent="0.35">
      <c r="B59" s="6" t="s">
        <v>148</v>
      </c>
      <c r="C59" s="9">
        <f>C16</f>
        <v>240000</v>
      </c>
    </row>
    <row r="60" spans="2:3" x14ac:dyDescent="0.35">
      <c r="B60" s="11" t="s">
        <v>159</v>
      </c>
      <c r="C60" s="19">
        <f>SUM(C53:C59)</f>
        <v>20590000</v>
      </c>
    </row>
    <row r="61" spans="2:3" x14ac:dyDescent="0.35">
      <c r="B61" s="6" t="s">
        <v>155</v>
      </c>
      <c r="C61" s="9">
        <f>C17</f>
        <v>1234000</v>
      </c>
    </row>
    <row r="62" spans="2:3" x14ac:dyDescent="0.35">
      <c r="B62" s="12" t="s">
        <v>160</v>
      </c>
      <c r="C62" s="26">
        <f>SUM(C60:C61)</f>
        <v>21824000</v>
      </c>
    </row>
    <row r="63" spans="2:3" x14ac:dyDescent="0.35">
      <c r="B63" s="11"/>
      <c r="C63" s="2"/>
    </row>
    <row r="64" spans="2:3" x14ac:dyDescent="0.35">
      <c r="B64" s="11"/>
      <c r="C64" s="2"/>
    </row>
    <row r="65" spans="1:4" x14ac:dyDescent="0.35">
      <c r="C65" s="2"/>
    </row>
    <row r="67" spans="1:4" x14ac:dyDescent="0.35">
      <c r="A67" t="s">
        <v>36</v>
      </c>
      <c r="B67" t="s">
        <v>161</v>
      </c>
    </row>
    <row r="68" spans="1:4" x14ac:dyDescent="0.35">
      <c r="B68" t="s">
        <v>162</v>
      </c>
      <c r="C68" s="5" t="s">
        <v>163</v>
      </c>
      <c r="D68" s="43">
        <f>(C14+C19)/C10</f>
        <v>0.14285714285714285</v>
      </c>
    </row>
    <row r="69" spans="1:4" x14ac:dyDescent="0.35">
      <c r="B69" t="s">
        <v>164</v>
      </c>
      <c r="C69" s="5" t="s">
        <v>165</v>
      </c>
      <c r="D69" s="43">
        <f>(C15+C20)/C11</f>
        <v>7.1428571428571425E-2</v>
      </c>
    </row>
    <row r="70" spans="1:4" x14ac:dyDescent="0.35">
      <c r="B70" t="s">
        <v>166</v>
      </c>
      <c r="C70" s="5" t="s">
        <v>167</v>
      </c>
      <c r="D70" s="43">
        <f>(C16+C21)/C12</f>
        <v>6.4000000000000001E-2</v>
      </c>
    </row>
    <row r="71" spans="1:4" x14ac:dyDescent="0.35">
      <c r="B71" t="s">
        <v>37</v>
      </c>
      <c r="C71" s="5" t="s">
        <v>168</v>
      </c>
      <c r="D71" s="43">
        <f>(C17+C22)/(C10+C11+C12+C14+C15+C16+C19+C20+C21)</f>
        <v>0.1600473933649289</v>
      </c>
    </row>
    <row r="72" spans="1:4" x14ac:dyDescent="0.35">
      <c r="C72" s="5"/>
      <c r="D72" s="43"/>
    </row>
    <row r="73" spans="1:4" x14ac:dyDescent="0.35">
      <c r="B73" t="s">
        <v>169</v>
      </c>
      <c r="C73" s="5"/>
      <c r="D73" s="43"/>
    </row>
    <row r="74" spans="1:4" x14ac:dyDescent="0.35">
      <c r="B74" t="s">
        <v>162</v>
      </c>
      <c r="C74" s="5" t="s">
        <v>170</v>
      </c>
      <c r="D74" s="43">
        <f>C57/C53</f>
        <v>8.9285714285714288E-2</v>
      </c>
    </row>
    <row r="75" spans="1:4" x14ac:dyDescent="0.35">
      <c r="B75" t="s">
        <v>164</v>
      </c>
      <c r="C75" s="5" t="s">
        <v>171</v>
      </c>
      <c r="D75" s="43">
        <f>C58/C54</f>
        <v>5.2380952380952382E-2</v>
      </c>
    </row>
    <row r="76" spans="1:4" x14ac:dyDescent="0.35">
      <c r="B76" t="s">
        <v>166</v>
      </c>
      <c r="C76" s="5" t="s">
        <v>172</v>
      </c>
      <c r="D76" s="43">
        <f>C59/C55</f>
        <v>3.8399999999999997E-2</v>
      </c>
    </row>
    <row r="77" spans="1:4" x14ac:dyDescent="0.35">
      <c r="B77" t="s">
        <v>37</v>
      </c>
      <c r="C77" s="5" t="s">
        <v>173</v>
      </c>
      <c r="D77" s="43">
        <f>C17/C60</f>
        <v>5.9932005828071878E-2</v>
      </c>
    </row>
    <row r="78" spans="1:4" x14ac:dyDescent="0.35">
      <c r="C78" s="5"/>
      <c r="D78" s="43"/>
    </row>
    <row r="84" spans="2:4" x14ac:dyDescent="0.35">
      <c r="B84" t="s">
        <v>144</v>
      </c>
      <c r="C84" s="2">
        <v>280000</v>
      </c>
    </row>
    <row r="85" spans="2:4" x14ac:dyDescent="0.35">
      <c r="B85" t="s">
        <v>174</v>
      </c>
      <c r="C85" s="2">
        <v>220</v>
      </c>
    </row>
    <row r="86" spans="2:4" x14ac:dyDescent="0.35">
      <c r="B86" t="s">
        <v>175</v>
      </c>
      <c r="C86" s="2">
        <v>160</v>
      </c>
    </row>
    <row r="87" spans="2:4" x14ac:dyDescent="0.35">
      <c r="B87" t="s">
        <v>176</v>
      </c>
      <c r="C87" s="2">
        <v>2500</v>
      </c>
      <c r="D87" t="s">
        <v>81</v>
      </c>
    </row>
    <row r="88" spans="2:4" x14ac:dyDescent="0.35">
      <c r="B88" t="s">
        <v>177</v>
      </c>
      <c r="C88" s="2">
        <v>1500</v>
      </c>
      <c r="D88" t="s">
        <v>81</v>
      </c>
    </row>
    <row r="89" spans="2:4" x14ac:dyDescent="0.35">
      <c r="C89" s="2"/>
    </row>
    <row r="90" spans="2:4" x14ac:dyDescent="0.35">
      <c r="B90" t="s">
        <v>31</v>
      </c>
      <c r="C90" s="2">
        <v>750</v>
      </c>
    </row>
    <row r="91" spans="2:4" x14ac:dyDescent="0.35">
      <c r="B91" t="s">
        <v>178</v>
      </c>
      <c r="C91" s="2">
        <v>1800</v>
      </c>
    </row>
    <row r="96" spans="2:4" x14ac:dyDescent="0.35">
      <c r="B96" s="11" t="s">
        <v>179</v>
      </c>
    </row>
    <row r="97" spans="2:4" x14ac:dyDescent="0.35">
      <c r="B97" t="s">
        <v>27</v>
      </c>
      <c r="D97" s="7">
        <f>C84</f>
        <v>280000</v>
      </c>
    </row>
    <row r="98" spans="2:4" x14ac:dyDescent="0.35">
      <c r="B98" t="s">
        <v>180</v>
      </c>
      <c r="C98" t="s">
        <v>181</v>
      </c>
      <c r="D98" s="7">
        <f>C85*C87</f>
        <v>550000</v>
      </c>
    </row>
    <row r="99" spans="2:4" x14ac:dyDescent="0.35">
      <c r="B99" t="s">
        <v>182</v>
      </c>
      <c r="C99" t="s">
        <v>183</v>
      </c>
      <c r="D99" s="7">
        <f>C86*C88</f>
        <v>240000</v>
      </c>
    </row>
    <row r="100" spans="2:4" x14ac:dyDescent="0.35">
      <c r="B100" t="s">
        <v>184</v>
      </c>
      <c r="C100" t="s">
        <v>185</v>
      </c>
      <c r="D100" s="7">
        <f>D97*D68</f>
        <v>40000</v>
      </c>
    </row>
    <row r="101" spans="2:4" x14ac:dyDescent="0.35">
      <c r="B101" t="s">
        <v>186</v>
      </c>
      <c r="C101" t="s">
        <v>187</v>
      </c>
      <c r="D101" s="7">
        <f>D98*D69</f>
        <v>39285.714285714283</v>
      </c>
    </row>
    <row r="102" spans="2:4" x14ac:dyDescent="0.35">
      <c r="B102" s="6" t="s">
        <v>188</v>
      </c>
      <c r="C102" s="6" t="s">
        <v>189</v>
      </c>
      <c r="D102" s="8">
        <f>D99*D70</f>
        <v>15360</v>
      </c>
    </row>
    <row r="103" spans="2:4" x14ac:dyDescent="0.35">
      <c r="B103" t="s">
        <v>159</v>
      </c>
      <c r="D103" s="7">
        <f>SUM(D97:D102)</f>
        <v>1164645.7142857143</v>
      </c>
    </row>
    <row r="104" spans="2:4" x14ac:dyDescent="0.35">
      <c r="B104" s="6" t="s">
        <v>190</v>
      </c>
      <c r="C104" s="6" t="s">
        <v>191</v>
      </c>
      <c r="D104" s="8">
        <f>D103*D71</f>
        <v>186398.5107650643</v>
      </c>
    </row>
    <row r="105" spans="2:4" x14ac:dyDescent="0.35">
      <c r="B105" s="10" t="s">
        <v>82</v>
      </c>
      <c r="C105" s="10"/>
      <c r="D105" s="44">
        <f>SUM(D103:D104)</f>
        <v>1351044.2250507786</v>
      </c>
    </row>
    <row r="107" spans="2:4" x14ac:dyDescent="0.35">
      <c r="B107" s="6" t="s">
        <v>192</v>
      </c>
      <c r="C107" s="6" t="s">
        <v>193</v>
      </c>
      <c r="D107" s="9">
        <f>C90*C91</f>
        <v>1350000</v>
      </c>
    </row>
    <row r="109" spans="2:4" x14ac:dyDescent="0.35">
      <c r="B109" s="6" t="s">
        <v>32</v>
      </c>
      <c r="C109" s="6"/>
      <c r="D109" s="9">
        <f>D107-D105</f>
        <v>-1044.2250507785939</v>
      </c>
    </row>
    <row r="110" spans="2:4" x14ac:dyDescent="0.35">
      <c r="D110" s="2"/>
    </row>
    <row r="111" spans="2:4" x14ac:dyDescent="0.35">
      <c r="D111" s="2"/>
    </row>
    <row r="114" spans="2:4" x14ac:dyDescent="0.35">
      <c r="B114" s="11" t="s">
        <v>194</v>
      </c>
    </row>
    <row r="115" spans="2:4" x14ac:dyDescent="0.35">
      <c r="B115" t="s">
        <v>27</v>
      </c>
      <c r="D115" s="7">
        <f>C84</f>
        <v>280000</v>
      </c>
    </row>
    <row r="116" spans="2:4" x14ac:dyDescent="0.35">
      <c r="B116" t="s">
        <v>180</v>
      </c>
      <c r="C116" t="s">
        <v>181</v>
      </c>
      <c r="D116" s="7">
        <f>C85*C87</f>
        <v>550000</v>
      </c>
    </row>
    <row r="117" spans="2:4" x14ac:dyDescent="0.35">
      <c r="B117" t="s">
        <v>182</v>
      </c>
      <c r="C117" t="s">
        <v>183</v>
      </c>
      <c r="D117" s="7">
        <f>C86*C88</f>
        <v>240000</v>
      </c>
    </row>
    <row r="118" spans="2:4" x14ac:dyDescent="0.35">
      <c r="B118" t="s">
        <v>195</v>
      </c>
      <c r="C118" t="s">
        <v>196</v>
      </c>
      <c r="D118" s="7">
        <f>D115*D74</f>
        <v>25000</v>
      </c>
    </row>
    <row r="119" spans="2:4" x14ac:dyDescent="0.35">
      <c r="B119" t="s">
        <v>197</v>
      </c>
      <c r="C119" t="s">
        <v>198</v>
      </c>
      <c r="D119" s="7">
        <f>D75*D116</f>
        <v>28809.523809523809</v>
      </c>
    </row>
    <row r="120" spans="2:4" x14ac:dyDescent="0.35">
      <c r="B120" s="6" t="s">
        <v>199</v>
      </c>
      <c r="C120" s="6" t="s">
        <v>200</v>
      </c>
      <c r="D120" s="8">
        <f>D76*D117</f>
        <v>9216</v>
      </c>
    </row>
    <row r="121" spans="2:4" x14ac:dyDescent="0.35">
      <c r="B121" t="s">
        <v>159</v>
      </c>
      <c r="D121" s="7">
        <f>SUM(D115:D120)</f>
        <v>1133025.5238095238</v>
      </c>
    </row>
    <row r="122" spans="2:4" x14ac:dyDescent="0.35">
      <c r="B122" s="6" t="s">
        <v>201</v>
      </c>
      <c r="C122" s="6" t="s">
        <v>202</v>
      </c>
      <c r="D122" s="8">
        <f>D77*D121</f>
        <v>67904.492296306576</v>
      </c>
    </row>
    <row r="123" spans="2:4" x14ac:dyDescent="0.35">
      <c r="B123" s="10" t="s">
        <v>203</v>
      </c>
      <c r="C123" s="10"/>
      <c r="D123" s="44">
        <f>SUM(D121:D122)</f>
        <v>1200930.0161058304</v>
      </c>
    </row>
    <row r="125" spans="2:4" x14ac:dyDescent="0.35">
      <c r="B125" s="6" t="s">
        <v>192</v>
      </c>
      <c r="C125" s="6" t="s">
        <v>193</v>
      </c>
      <c r="D125" s="9">
        <f>C90*C91</f>
        <v>1350000</v>
      </c>
    </row>
    <row r="127" spans="2:4" x14ac:dyDescent="0.35">
      <c r="B127" s="6" t="s">
        <v>204</v>
      </c>
      <c r="C127" s="6"/>
      <c r="D127" s="9">
        <f>D125-D123</f>
        <v>149069.98389416956</v>
      </c>
    </row>
    <row r="129" spans="2:2" x14ac:dyDescent="0.35">
      <c r="B129" t="s">
        <v>205</v>
      </c>
    </row>
    <row r="130" spans="2:2" x14ac:dyDescent="0.35">
      <c r="B130" t="s">
        <v>206</v>
      </c>
    </row>
    <row r="131" spans="2:2" x14ac:dyDescent="0.35">
      <c r="B131" t="s">
        <v>207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Oppgave 1</vt:lpstr>
      <vt:lpstr>Oppgave 2</vt:lpstr>
      <vt:lpstr>Oppgave 3</vt:lpstr>
      <vt:lpstr>Oppgave  4</vt:lpstr>
      <vt:lpstr>Oppgave 5</vt:lpstr>
      <vt:lpstr>Bonus 1</vt:lpstr>
    </vt:vector>
  </TitlesOfParts>
  <Company>Hogskolen i Bergen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Kristin Nytun</dc:creator>
  <cp:lastModifiedBy>Øyvind Sunde</cp:lastModifiedBy>
  <cp:lastPrinted>2021-01-06T08:48:48Z</cp:lastPrinted>
  <dcterms:created xsi:type="dcterms:W3CDTF">2018-10-10T07:24:11Z</dcterms:created>
  <dcterms:modified xsi:type="dcterms:W3CDTF">2025-01-08T19:08:03Z</dcterms:modified>
</cp:coreProperties>
</file>