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vl365-my.sharepoint.com/personal/osu_hvl_no/Documents/Documents/H/Undervisning/BØA205/BØA205 vår 2025/Kapittel 1 - 3/"/>
    </mc:Choice>
  </mc:AlternateContent>
  <xr:revisionPtr revIDLastSave="14" documentId="8_{73C22C1E-5536-4558-9764-E079D457E46A}" xr6:coauthVersionLast="47" xr6:coauthVersionMax="47" xr10:uidLastSave="{A224C500-D799-49F4-B15B-C5D2ECB3677E}"/>
  <bookViews>
    <workbookView xWindow="-110" yWindow="-110" windowWidth="19420" windowHeight="10300" xr2:uid="{8C803086-0728-4CD2-8F93-4F07D362B97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D45" i="1"/>
  <c r="G36" i="1"/>
  <c r="G37" i="1"/>
  <c r="G35" i="1"/>
  <c r="D37" i="1"/>
  <c r="D36" i="1"/>
  <c r="D35" i="1"/>
  <c r="G12" i="1"/>
  <c r="G22" i="1" s="1"/>
  <c r="G40" i="1" s="1"/>
  <c r="G8" i="1"/>
  <c r="G9" i="1"/>
  <c r="G7" i="1"/>
  <c r="G14" i="1"/>
  <c r="G11" i="1"/>
  <c r="G10" i="1"/>
  <c r="D22" i="1"/>
  <c r="D40" i="1" s="1"/>
  <c r="D21" i="1"/>
  <c r="D20" i="1"/>
  <c r="D13" i="1"/>
  <c r="D15" i="1" s="1"/>
  <c r="D39" i="1" l="1"/>
  <c r="D38" i="1"/>
  <c r="D41" i="1" s="1"/>
  <c r="G13" i="1"/>
  <c r="G15" i="1" s="1"/>
  <c r="G21" i="1"/>
  <c r="G39" i="1" s="1"/>
  <c r="G20" i="1"/>
  <c r="G38" i="1" s="1"/>
  <c r="D23" i="1"/>
  <c r="G41" i="1" l="1"/>
  <c r="D42" i="1"/>
  <c r="D43" i="1" s="1"/>
  <c r="D46" i="1" s="1"/>
  <c r="D47" i="1" s="1"/>
  <c r="G23" i="1"/>
  <c r="G42" i="1" s="1"/>
  <c r="G43" i="1" s="1"/>
  <c r="G46" i="1" s="1"/>
  <c r="G47" i="1" s="1"/>
</calcChain>
</file>

<file path=xl/sharedStrings.xml><?xml version="1.0" encoding="utf-8"?>
<sst xmlns="http://schemas.openxmlformats.org/spreadsheetml/2006/main" count="69" uniqueCount="34">
  <si>
    <t>ØRA AS</t>
  </si>
  <si>
    <t>Driftsregnskap normalperiode:</t>
  </si>
  <si>
    <t>Selvkost:</t>
  </si>
  <si>
    <t>Direkte material</t>
  </si>
  <si>
    <t>Direkte lønn avdeling 1</t>
  </si>
  <si>
    <t>Direkte lønn avdeling 2</t>
  </si>
  <si>
    <t>Indirekte kostnader materialavdeling</t>
  </si>
  <si>
    <t>Indirekte kostnader tilvirkningsavdeling 1</t>
  </si>
  <si>
    <t>Indirekte kostnader tilvirkningsavdeling 2</t>
  </si>
  <si>
    <t>Tilvirkningskost</t>
  </si>
  <si>
    <t>Indirekte kostnader salg og administrasjon</t>
  </si>
  <si>
    <t>Selvkost</t>
  </si>
  <si>
    <t>Kostnadssted:</t>
  </si>
  <si>
    <t>Aktivitetsmål:</t>
  </si>
  <si>
    <t>Materialavdeling</t>
  </si>
  <si>
    <t>Tilvirkningsavdeling 1</t>
  </si>
  <si>
    <t>Tilvirkningsavdeling 2</t>
  </si>
  <si>
    <t>Salg og adm.</t>
  </si>
  <si>
    <t>Direkte lønn</t>
  </si>
  <si>
    <t>Maskintimer (= 2000)</t>
  </si>
  <si>
    <t>Normalsats selvkost</t>
  </si>
  <si>
    <t>Faste:</t>
  </si>
  <si>
    <t>Normalsats bidrag</t>
  </si>
  <si>
    <t>Bidrag:</t>
  </si>
  <si>
    <t>Tilvirkningsmerkost</t>
  </si>
  <si>
    <t>Salgsmerkost</t>
  </si>
  <si>
    <t>Ordre:</t>
  </si>
  <si>
    <t>Salgsinntekt</t>
  </si>
  <si>
    <t>Maskintimer i avdeling 2</t>
  </si>
  <si>
    <t>Salgsinntekter</t>
  </si>
  <si>
    <t>Fortjeneste</t>
  </si>
  <si>
    <t>Dekningsbidrag</t>
  </si>
  <si>
    <t>Beregning av normalsatser:</t>
  </si>
  <si>
    <t>Ordrekalkulasjon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</si>
</sst>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1" fillId="2" borderId="0" xfId="0" applyFont="1" applyFill="1"/>
    <xf numFmtId="3" fontId="0" fillId="2" borderId="0" xfId="0" applyNumberFormat="1" applyFill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  <xf numFmtId="3" fontId="1" fillId="2" borderId="0" xfId="0" applyNumberFormat="1" applyFont="1" applyFill="1"/>
    <xf numFmtId="3" fontId="0" fillId="2" borderId="8" xfId="0" applyNumberFormat="1" applyFill="1" applyBorder="1"/>
    <xf numFmtId="164" fontId="0" fillId="2" borderId="0" xfId="0" applyNumberFormat="1" applyFill="1"/>
    <xf numFmtId="0" fontId="0" fillId="2" borderId="2" xfId="0" applyFill="1" applyBorder="1"/>
    <xf numFmtId="3" fontId="0" fillId="2" borderId="3" xfId="0" applyNumberFormat="1" applyFill="1" applyBorder="1"/>
    <xf numFmtId="0" fontId="0" fillId="2" borderId="4" xfId="0" applyFill="1" applyBorder="1"/>
    <xf numFmtId="3" fontId="0" fillId="2" borderId="5" xfId="0" applyNumberFormat="1" applyFill="1" applyBorder="1"/>
    <xf numFmtId="0" fontId="0" fillId="2" borderId="6" xfId="0" applyFill="1" applyBorder="1"/>
    <xf numFmtId="3" fontId="0" fillId="2" borderId="7" xfId="0" applyNumberFormat="1" applyFill="1" applyBorder="1"/>
    <xf numFmtId="3" fontId="0" fillId="0" borderId="0" xfId="0" applyNumberFormat="1" applyFill="1"/>
    <xf numFmtId="3" fontId="0" fillId="0" borderId="1" xfId="0" applyNumberFormat="1" applyFill="1" applyBorder="1"/>
    <xf numFmtId="164" fontId="0" fillId="0" borderId="9" xfId="0" applyNumberFormat="1" applyFill="1" applyBorder="1"/>
    <xf numFmtId="3" fontId="0" fillId="0" borderId="9" xfId="0" applyNumberFormat="1" applyFill="1" applyBorder="1"/>
    <xf numFmtId="164" fontId="0" fillId="0" borderId="10" xfId="0" applyNumberFormat="1" applyFill="1" applyBorder="1"/>
    <xf numFmtId="165" fontId="0" fillId="0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7CE8-B52B-4253-A8E5-F5A80C9FEEA3}">
  <dimension ref="A1:J48"/>
  <sheetViews>
    <sheetView tabSelected="1" workbookViewId="0">
      <pane xSplit="5" topLeftCell="F1" activePane="topRight" state="frozen"/>
      <selection pane="topRight" activeCell="J41" sqref="J41"/>
    </sheetView>
  </sheetViews>
  <sheetFormatPr baseColWidth="10" defaultRowHeight="14.5" x14ac:dyDescent="0.35"/>
  <cols>
    <col min="1" max="1" width="3.36328125" customWidth="1"/>
    <col min="2" max="2" width="17.81640625" bestFit="1" customWidth="1"/>
    <col min="3" max="3" width="35" bestFit="1" customWidth="1"/>
    <col min="4" max="4" width="17.26953125" style="1" bestFit="1" customWidth="1"/>
    <col min="5" max="5" width="10.90625" style="1"/>
    <col min="6" max="6" width="35" style="1" bestFit="1" customWidth="1"/>
    <col min="7" max="7" width="15.54296875" style="1" bestFit="1" customWidth="1"/>
    <col min="8" max="8" width="3.6328125" style="1" customWidth="1"/>
    <col min="9" max="10" width="10.90625" style="1"/>
  </cols>
  <sheetData>
    <row r="1" spans="1:8" x14ac:dyDescent="0.35">
      <c r="A1" s="2"/>
      <c r="B1" s="2"/>
      <c r="C1" s="2"/>
      <c r="D1" s="3"/>
      <c r="E1" s="3"/>
      <c r="F1" s="3"/>
      <c r="G1" s="3"/>
      <c r="H1" s="3"/>
    </row>
    <row r="2" spans="1:8" x14ac:dyDescent="0.35">
      <c r="A2" s="2"/>
      <c r="B2" s="4" t="s">
        <v>0</v>
      </c>
      <c r="C2" s="2"/>
      <c r="D2" s="3"/>
      <c r="E2" s="3"/>
      <c r="F2" s="3"/>
      <c r="G2" s="3"/>
      <c r="H2" s="3"/>
    </row>
    <row r="3" spans="1:8" x14ac:dyDescent="0.35">
      <c r="A3" s="2"/>
      <c r="B3" s="2"/>
      <c r="C3" s="2"/>
      <c r="D3" s="3"/>
      <c r="E3" s="3"/>
      <c r="F3" s="3"/>
      <c r="G3" s="3"/>
      <c r="H3" s="3"/>
    </row>
    <row r="4" spans="1:8" x14ac:dyDescent="0.35">
      <c r="A4" s="2"/>
      <c r="B4" s="4" t="s">
        <v>1</v>
      </c>
      <c r="C4" s="2"/>
      <c r="D4" s="3"/>
      <c r="E4" s="3"/>
      <c r="F4" s="3"/>
      <c r="G4" s="3"/>
      <c r="H4" s="3"/>
    </row>
    <row r="5" spans="1:8" x14ac:dyDescent="0.35">
      <c r="A5" s="2"/>
      <c r="B5" s="2"/>
      <c r="C5" s="2"/>
      <c r="D5" s="3"/>
      <c r="E5" s="3"/>
      <c r="F5" s="3"/>
      <c r="G5" s="3"/>
      <c r="H5" s="3"/>
    </row>
    <row r="6" spans="1:8" x14ac:dyDescent="0.35">
      <c r="A6" s="2"/>
      <c r="B6" s="2"/>
      <c r="C6" s="2"/>
      <c r="D6" s="5" t="s">
        <v>2</v>
      </c>
      <c r="E6" s="5" t="s">
        <v>21</v>
      </c>
      <c r="F6" s="5"/>
      <c r="G6" s="5" t="s">
        <v>23</v>
      </c>
      <c r="H6" s="3"/>
    </row>
    <row r="7" spans="1:8" x14ac:dyDescent="0.35">
      <c r="A7" s="2"/>
      <c r="B7" s="2"/>
      <c r="C7" s="2" t="s">
        <v>3</v>
      </c>
      <c r="D7" s="3">
        <v>1000000</v>
      </c>
      <c r="E7" s="3"/>
      <c r="F7" s="2" t="s">
        <v>3</v>
      </c>
      <c r="G7" s="3">
        <f>D7</f>
        <v>1000000</v>
      </c>
      <c r="H7" s="3"/>
    </row>
    <row r="8" spans="1:8" x14ac:dyDescent="0.35">
      <c r="A8" s="2"/>
      <c r="B8" s="2"/>
      <c r="C8" s="2" t="s">
        <v>4</v>
      </c>
      <c r="D8" s="3">
        <v>500000</v>
      </c>
      <c r="E8" s="3"/>
      <c r="F8" s="2" t="s">
        <v>4</v>
      </c>
      <c r="G8" s="3">
        <f>D8</f>
        <v>500000</v>
      </c>
      <c r="H8" s="3"/>
    </row>
    <row r="9" spans="1:8" x14ac:dyDescent="0.35">
      <c r="A9" s="2"/>
      <c r="B9" s="2"/>
      <c r="C9" s="2" t="s">
        <v>5</v>
      </c>
      <c r="D9" s="3">
        <v>700000</v>
      </c>
      <c r="E9" s="3"/>
      <c r="F9" s="2" t="s">
        <v>5</v>
      </c>
      <c r="G9" s="3">
        <f>D9</f>
        <v>700000</v>
      </c>
      <c r="H9" s="3"/>
    </row>
    <row r="10" spans="1:8" x14ac:dyDescent="0.35">
      <c r="A10" s="2"/>
      <c r="B10" s="2"/>
      <c r="C10" s="2" t="s">
        <v>6</v>
      </c>
      <c r="D10" s="3">
        <v>150000</v>
      </c>
      <c r="E10" s="3">
        <v>40000</v>
      </c>
      <c r="F10" s="2" t="s">
        <v>6</v>
      </c>
      <c r="G10" s="17">
        <f>D10-E10</f>
        <v>110000</v>
      </c>
      <c r="H10" s="3"/>
    </row>
    <row r="11" spans="1:8" x14ac:dyDescent="0.35">
      <c r="A11" s="2"/>
      <c r="B11" s="2"/>
      <c r="C11" s="2" t="s">
        <v>7</v>
      </c>
      <c r="D11" s="3">
        <v>100000</v>
      </c>
      <c r="E11" s="3">
        <v>30000</v>
      </c>
      <c r="F11" s="2" t="s">
        <v>7</v>
      </c>
      <c r="G11" s="17">
        <f>D11-E11</f>
        <v>70000</v>
      </c>
      <c r="H11" s="3"/>
    </row>
    <row r="12" spans="1:8" x14ac:dyDescent="0.35">
      <c r="A12" s="2"/>
      <c r="B12" s="2"/>
      <c r="C12" s="6" t="s">
        <v>8</v>
      </c>
      <c r="D12" s="7">
        <v>210000</v>
      </c>
      <c r="E12" s="3">
        <v>70000</v>
      </c>
      <c r="F12" s="6" t="s">
        <v>8</v>
      </c>
      <c r="G12" s="18">
        <f>D12-E12</f>
        <v>140000</v>
      </c>
      <c r="H12" s="3"/>
    </row>
    <row r="13" spans="1:8" x14ac:dyDescent="0.35">
      <c r="A13" s="2"/>
      <c r="B13" s="2"/>
      <c r="C13" s="4" t="s">
        <v>9</v>
      </c>
      <c r="D13" s="8">
        <f>SUM(D7:D12)</f>
        <v>2660000</v>
      </c>
      <c r="E13" s="8"/>
      <c r="F13" s="4" t="s">
        <v>24</v>
      </c>
      <c r="G13" s="8">
        <f>SUM(G7:G12)</f>
        <v>2520000</v>
      </c>
      <c r="H13" s="3"/>
    </row>
    <row r="14" spans="1:8" x14ac:dyDescent="0.35">
      <c r="A14" s="2"/>
      <c r="B14" s="2"/>
      <c r="C14" s="6" t="s">
        <v>10</v>
      </c>
      <c r="D14" s="7">
        <v>532000</v>
      </c>
      <c r="E14" s="3">
        <v>532000</v>
      </c>
      <c r="F14" s="6" t="s">
        <v>10</v>
      </c>
      <c r="G14" s="18">
        <f>D14-E14</f>
        <v>0</v>
      </c>
      <c r="H14" s="3"/>
    </row>
    <row r="15" spans="1:8" x14ac:dyDescent="0.35">
      <c r="A15" s="2"/>
      <c r="B15" s="2"/>
      <c r="C15" s="4" t="s">
        <v>11</v>
      </c>
      <c r="D15" s="8">
        <f>D13+D14</f>
        <v>3192000</v>
      </c>
      <c r="E15" s="3"/>
      <c r="F15" s="4" t="s">
        <v>25</v>
      </c>
      <c r="G15" s="8">
        <f>G13+G14</f>
        <v>2520000</v>
      </c>
      <c r="H15" s="3"/>
    </row>
    <row r="16" spans="1:8" x14ac:dyDescent="0.35">
      <c r="A16" s="2"/>
      <c r="B16" s="2"/>
      <c r="C16" s="4"/>
      <c r="D16" s="8"/>
      <c r="E16" s="3"/>
      <c r="F16" s="4"/>
      <c r="G16" s="8"/>
      <c r="H16" s="3"/>
    </row>
    <row r="17" spans="1:8" x14ac:dyDescent="0.35">
      <c r="A17" s="2"/>
      <c r="B17" s="4" t="s">
        <v>32</v>
      </c>
      <c r="C17" s="4"/>
      <c r="D17" s="8"/>
      <c r="E17" s="3"/>
      <c r="F17" s="4"/>
      <c r="G17" s="8"/>
      <c r="H17" s="3"/>
    </row>
    <row r="18" spans="1:8" ht="15" thickBot="1" x14ac:dyDescent="0.4">
      <c r="A18" s="2"/>
      <c r="B18" s="2"/>
      <c r="C18" s="2"/>
      <c r="D18" s="3"/>
      <c r="E18" s="3"/>
      <c r="F18" s="3"/>
      <c r="G18" s="3"/>
      <c r="H18" s="3"/>
    </row>
    <row r="19" spans="1:8" x14ac:dyDescent="0.35">
      <c r="A19" s="2"/>
      <c r="B19" s="2" t="s">
        <v>12</v>
      </c>
      <c r="C19" s="2" t="s">
        <v>13</v>
      </c>
      <c r="D19" s="9" t="s">
        <v>20</v>
      </c>
      <c r="E19" s="3"/>
      <c r="F19" s="3"/>
      <c r="G19" s="9" t="s">
        <v>22</v>
      </c>
      <c r="H19" s="3"/>
    </row>
    <row r="20" spans="1:8" x14ac:dyDescent="0.35">
      <c r="A20" s="2"/>
      <c r="B20" s="2" t="s">
        <v>14</v>
      </c>
      <c r="C20" s="2" t="s">
        <v>3</v>
      </c>
      <c r="D20" s="19">
        <f>D10/D7</f>
        <v>0.15</v>
      </c>
      <c r="E20" s="3"/>
      <c r="F20" s="3"/>
      <c r="G20" s="19">
        <f>G10/G7</f>
        <v>0.11</v>
      </c>
      <c r="H20" s="3"/>
    </row>
    <row r="21" spans="1:8" x14ac:dyDescent="0.35">
      <c r="A21" s="2"/>
      <c r="B21" s="2" t="s">
        <v>15</v>
      </c>
      <c r="C21" s="2" t="s">
        <v>18</v>
      </c>
      <c r="D21" s="19">
        <f>D11/D8</f>
        <v>0.2</v>
      </c>
      <c r="E21" s="3"/>
      <c r="F21" s="3"/>
      <c r="G21" s="19">
        <f>G11/G8</f>
        <v>0.14000000000000001</v>
      </c>
      <c r="H21" s="3"/>
    </row>
    <row r="22" spans="1:8" x14ac:dyDescent="0.35">
      <c r="A22" s="2"/>
      <c r="B22" s="2" t="s">
        <v>16</v>
      </c>
      <c r="C22" s="2" t="s">
        <v>19</v>
      </c>
      <c r="D22" s="20">
        <f>D12/2000</f>
        <v>105</v>
      </c>
      <c r="E22" s="3"/>
      <c r="F22" s="3"/>
      <c r="G22" s="22">
        <f>G12/2000</f>
        <v>70</v>
      </c>
      <c r="H22" s="3"/>
    </row>
    <row r="23" spans="1:8" ht="15" thickBot="1" x14ac:dyDescent="0.4">
      <c r="A23" s="2"/>
      <c r="B23" s="2" t="s">
        <v>17</v>
      </c>
      <c r="C23" s="2" t="s">
        <v>9</v>
      </c>
      <c r="D23" s="21">
        <f>D14/D13</f>
        <v>0.2</v>
      </c>
      <c r="E23" s="3"/>
      <c r="F23" s="3"/>
      <c r="G23" s="21">
        <f>G14/G13</f>
        <v>0</v>
      </c>
      <c r="H23" s="3"/>
    </row>
    <row r="24" spans="1:8" x14ac:dyDescent="0.35">
      <c r="A24" s="2"/>
      <c r="B24" s="2"/>
      <c r="C24" s="2"/>
      <c r="D24" s="10"/>
      <c r="E24" s="3"/>
      <c r="F24" s="3"/>
      <c r="G24" s="10"/>
      <c r="H24" s="3"/>
    </row>
    <row r="25" spans="1:8" x14ac:dyDescent="0.35">
      <c r="A25" s="2"/>
      <c r="B25" s="4" t="s">
        <v>33</v>
      </c>
      <c r="C25" s="2"/>
      <c r="D25" s="10"/>
      <c r="E25" s="3"/>
      <c r="F25" s="3"/>
      <c r="G25" s="10"/>
      <c r="H25" s="3"/>
    </row>
    <row r="26" spans="1:8" ht="15" thickBot="1" x14ac:dyDescent="0.4">
      <c r="A26" s="2"/>
      <c r="B26" s="2"/>
      <c r="C26" s="2"/>
      <c r="D26" s="3"/>
      <c r="E26" s="3"/>
      <c r="F26" s="3"/>
      <c r="G26" s="3"/>
      <c r="H26" s="3"/>
    </row>
    <row r="27" spans="1:8" x14ac:dyDescent="0.35">
      <c r="A27" s="2"/>
      <c r="B27" s="2"/>
      <c r="C27" s="11" t="s">
        <v>26</v>
      </c>
      <c r="D27" s="12"/>
      <c r="E27" s="3"/>
      <c r="F27" s="3"/>
      <c r="G27" s="3"/>
      <c r="H27" s="3"/>
    </row>
    <row r="28" spans="1:8" x14ac:dyDescent="0.35">
      <c r="A28" s="2"/>
      <c r="B28" s="2"/>
      <c r="C28" s="13" t="s">
        <v>27</v>
      </c>
      <c r="D28" s="14">
        <v>200000</v>
      </c>
      <c r="E28" s="3"/>
      <c r="F28" s="3"/>
      <c r="G28" s="3"/>
      <c r="H28" s="3"/>
    </row>
    <row r="29" spans="1:8" x14ac:dyDescent="0.35">
      <c r="A29" s="2"/>
      <c r="B29" s="2"/>
      <c r="C29" s="13" t="s">
        <v>3</v>
      </c>
      <c r="D29" s="14">
        <v>50000</v>
      </c>
      <c r="E29" s="3"/>
      <c r="F29" s="3"/>
      <c r="G29" s="3"/>
      <c r="H29" s="3"/>
    </row>
    <row r="30" spans="1:8" x14ac:dyDescent="0.35">
      <c r="A30" s="2"/>
      <c r="B30" s="2"/>
      <c r="C30" s="13" t="s">
        <v>4</v>
      </c>
      <c r="D30" s="14">
        <v>30000</v>
      </c>
      <c r="E30" s="3"/>
      <c r="F30" s="3"/>
      <c r="G30" s="3"/>
      <c r="H30" s="3"/>
    </row>
    <row r="31" spans="1:8" x14ac:dyDescent="0.35">
      <c r="A31" s="2"/>
      <c r="B31" s="2"/>
      <c r="C31" s="13" t="s">
        <v>5</v>
      </c>
      <c r="D31" s="14">
        <v>40000</v>
      </c>
      <c r="E31" s="3"/>
      <c r="F31" s="3"/>
      <c r="G31" s="3"/>
      <c r="H31" s="3"/>
    </row>
    <row r="32" spans="1:8" ht="15" thickBot="1" x14ac:dyDescent="0.4">
      <c r="A32" s="2"/>
      <c r="B32" s="2"/>
      <c r="C32" s="15" t="s">
        <v>28</v>
      </c>
      <c r="D32" s="16">
        <v>100</v>
      </c>
      <c r="E32" s="3"/>
      <c r="F32" s="3"/>
      <c r="G32" s="3"/>
      <c r="H32" s="3"/>
    </row>
    <row r="33" spans="1:8" x14ac:dyDescent="0.35">
      <c r="A33" s="2"/>
      <c r="B33" s="2"/>
      <c r="C33" s="2"/>
      <c r="D33" s="3"/>
      <c r="E33" s="3"/>
      <c r="F33" s="3"/>
      <c r="G33" s="3"/>
      <c r="H33" s="3"/>
    </row>
    <row r="34" spans="1:8" x14ac:dyDescent="0.35">
      <c r="A34" s="2"/>
      <c r="B34" s="2"/>
      <c r="C34" s="2"/>
      <c r="D34" s="5" t="s">
        <v>2</v>
      </c>
      <c r="E34" s="3"/>
      <c r="F34" s="3"/>
      <c r="G34" s="5" t="s">
        <v>23</v>
      </c>
      <c r="H34" s="3"/>
    </row>
    <row r="35" spans="1:8" x14ac:dyDescent="0.35">
      <c r="A35" s="2"/>
      <c r="B35" s="2"/>
      <c r="C35" s="2" t="s">
        <v>3</v>
      </c>
      <c r="D35" s="3">
        <f>D29</f>
        <v>50000</v>
      </c>
      <c r="E35" s="3"/>
      <c r="F35" s="2" t="s">
        <v>3</v>
      </c>
      <c r="G35" s="3">
        <f>D29</f>
        <v>50000</v>
      </c>
      <c r="H35" s="3"/>
    </row>
    <row r="36" spans="1:8" x14ac:dyDescent="0.35">
      <c r="A36" s="2"/>
      <c r="B36" s="2"/>
      <c r="C36" s="2" t="s">
        <v>4</v>
      </c>
      <c r="D36" s="3">
        <f>D30</f>
        <v>30000</v>
      </c>
      <c r="E36" s="3"/>
      <c r="F36" s="2" t="s">
        <v>4</v>
      </c>
      <c r="G36" s="3">
        <f t="shared" ref="G36:G37" si="0">D30</f>
        <v>30000</v>
      </c>
      <c r="H36" s="3"/>
    </row>
    <row r="37" spans="1:8" x14ac:dyDescent="0.35">
      <c r="A37" s="2"/>
      <c r="B37" s="2"/>
      <c r="C37" s="2" t="s">
        <v>5</v>
      </c>
      <c r="D37" s="3">
        <f>D31</f>
        <v>40000</v>
      </c>
      <c r="E37" s="3"/>
      <c r="F37" s="2" t="s">
        <v>5</v>
      </c>
      <c r="G37" s="3">
        <f t="shared" si="0"/>
        <v>40000</v>
      </c>
      <c r="H37" s="3"/>
    </row>
    <row r="38" spans="1:8" x14ac:dyDescent="0.35">
      <c r="A38" s="2"/>
      <c r="B38" s="2"/>
      <c r="C38" s="2" t="s">
        <v>6</v>
      </c>
      <c r="D38" s="17">
        <f>D35*D20</f>
        <v>7500</v>
      </c>
      <c r="E38" s="3"/>
      <c r="F38" s="2" t="s">
        <v>6</v>
      </c>
      <c r="G38" s="17">
        <f>G35*G20</f>
        <v>5500</v>
      </c>
      <c r="H38" s="3"/>
    </row>
    <row r="39" spans="1:8" x14ac:dyDescent="0.35">
      <c r="A39" s="2"/>
      <c r="B39" s="2"/>
      <c r="C39" s="2" t="s">
        <v>7</v>
      </c>
      <c r="D39" s="17">
        <f>D36*D21</f>
        <v>6000</v>
      </c>
      <c r="E39" s="3"/>
      <c r="F39" s="2" t="s">
        <v>7</v>
      </c>
      <c r="G39" s="17">
        <f>G36*G21</f>
        <v>4200</v>
      </c>
      <c r="H39" s="3"/>
    </row>
    <row r="40" spans="1:8" x14ac:dyDescent="0.35">
      <c r="A40" s="2"/>
      <c r="B40" s="2"/>
      <c r="C40" s="6" t="s">
        <v>8</v>
      </c>
      <c r="D40" s="18">
        <f>D22*100</f>
        <v>10500</v>
      </c>
      <c r="E40" s="3"/>
      <c r="F40" s="6" t="s">
        <v>8</v>
      </c>
      <c r="G40" s="18">
        <f>G22*100</f>
        <v>7000</v>
      </c>
      <c r="H40" s="3"/>
    </row>
    <row r="41" spans="1:8" x14ac:dyDescent="0.35">
      <c r="A41" s="2"/>
      <c r="B41" s="2"/>
      <c r="C41" s="4" t="s">
        <v>9</v>
      </c>
      <c r="D41" s="8">
        <f>SUM(D35:D40)</f>
        <v>144000</v>
      </c>
      <c r="E41" s="3"/>
      <c r="F41" s="4" t="s">
        <v>24</v>
      </c>
      <c r="G41" s="8">
        <f>SUM(G35:G40)</f>
        <v>136700</v>
      </c>
      <c r="H41" s="3"/>
    </row>
    <row r="42" spans="1:8" x14ac:dyDescent="0.35">
      <c r="A42" s="2"/>
      <c r="B42" s="2"/>
      <c r="C42" s="6" t="s">
        <v>10</v>
      </c>
      <c r="D42" s="18">
        <f>D41*D23</f>
        <v>28800</v>
      </c>
      <c r="E42" s="3"/>
      <c r="F42" s="6" t="s">
        <v>10</v>
      </c>
      <c r="G42" s="18">
        <f>G23*G41</f>
        <v>0</v>
      </c>
      <c r="H42" s="3"/>
    </row>
    <row r="43" spans="1:8" x14ac:dyDescent="0.35">
      <c r="A43" s="2"/>
      <c r="B43" s="2"/>
      <c r="C43" s="4" t="s">
        <v>11</v>
      </c>
      <c r="D43" s="8">
        <f>D41+D42</f>
        <v>172800</v>
      </c>
      <c r="E43" s="3"/>
      <c r="F43" s="4" t="s">
        <v>25</v>
      </c>
      <c r="G43" s="8">
        <f>G41+G42</f>
        <v>136700</v>
      </c>
      <c r="H43" s="3"/>
    </row>
    <row r="44" spans="1:8" x14ac:dyDescent="0.35">
      <c r="A44" s="2"/>
      <c r="B44" s="2"/>
      <c r="C44" s="2"/>
      <c r="D44" s="3"/>
      <c r="E44" s="3"/>
      <c r="F44" s="3"/>
      <c r="G44" s="3"/>
      <c r="H44" s="3"/>
    </row>
    <row r="45" spans="1:8" x14ac:dyDescent="0.35">
      <c r="A45" s="2"/>
      <c r="B45" s="2"/>
      <c r="C45" s="2" t="s">
        <v>29</v>
      </c>
      <c r="D45" s="17">
        <f>D28</f>
        <v>200000</v>
      </c>
      <c r="E45" s="3"/>
      <c r="F45" s="2" t="s">
        <v>29</v>
      </c>
      <c r="G45" s="17">
        <f>D28</f>
        <v>200000</v>
      </c>
      <c r="H45" s="3"/>
    </row>
    <row r="46" spans="1:8" x14ac:dyDescent="0.35">
      <c r="A46" s="2"/>
      <c r="B46" s="2"/>
      <c r="C46" s="6" t="s">
        <v>11</v>
      </c>
      <c r="D46" s="18">
        <f>D43</f>
        <v>172800</v>
      </c>
      <c r="E46" s="3"/>
      <c r="F46" s="6" t="s">
        <v>25</v>
      </c>
      <c r="G46" s="18">
        <f>G43</f>
        <v>136700</v>
      </c>
      <c r="H46" s="3"/>
    </row>
    <row r="47" spans="1:8" x14ac:dyDescent="0.35">
      <c r="A47" s="2"/>
      <c r="B47" s="2"/>
      <c r="C47" s="4" t="s">
        <v>30</v>
      </c>
      <c r="D47" s="8">
        <f>D45-D46</f>
        <v>27200</v>
      </c>
      <c r="E47" s="3"/>
      <c r="F47" s="4" t="s">
        <v>31</v>
      </c>
      <c r="G47" s="8">
        <f>G45-G46</f>
        <v>63300</v>
      </c>
      <c r="H47" s="3"/>
    </row>
    <row r="48" spans="1:8" x14ac:dyDescent="0.35">
      <c r="A48" s="2"/>
      <c r="B48" s="2"/>
      <c r="C48" s="2"/>
      <c r="D48" s="3"/>
      <c r="E48" s="3"/>
      <c r="F48" s="3"/>
      <c r="G48" s="3"/>
      <c r="H48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Sunde</dc:creator>
  <cp:lastModifiedBy>Øyvind Sunde</cp:lastModifiedBy>
  <dcterms:created xsi:type="dcterms:W3CDTF">2025-01-11T10:45:09Z</dcterms:created>
  <dcterms:modified xsi:type="dcterms:W3CDTF">2025-01-11T11:29:03Z</dcterms:modified>
</cp:coreProperties>
</file>